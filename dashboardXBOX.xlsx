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llya\Desktop\"/>
    </mc:Choice>
  </mc:AlternateContent>
  <xr:revisionPtr revIDLastSave="0" documentId="13_ncr:1_{5F1F3088-ACF1-411B-8783-43CB77CFDD63}" xr6:coauthVersionLast="47" xr6:coauthVersionMax="47" xr10:uidLastSave="{00000000-0000-0000-0000-000000000000}"/>
  <bookViews>
    <workbookView xWindow="-120" yWindow="-120" windowWidth="29040" windowHeight="158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3" i="3" l="1"/>
  <c r="D23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<sst xmlns="http://schemas.openxmlformats.org/spreadsheetml/2006/main" count="2022" uniqueCount="324">
  <si>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</si>
  <si>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</si>
  <si>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</si>
  <si>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</si>
  <si>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</si>
  <si>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</si>
  <si>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</si>
  <si>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</si>
  <si>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</si>
  <si>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</si>
  <si>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</si>
  <si>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</si>
  <si>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</si>
  <si>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</si>
  <si>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</si>
  <si>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</si>
  <si>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</si>
  <si>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</si>
  <si>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</si>
  <si>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</si>
  <si>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</si>
  <si>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</si>
  <si>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</si>
  <si>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</si>
  <si>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</si>
  <si>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</si>
  <si>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</si>
  <si>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</si>
  <si>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</si>
  <si>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</si>
  <si>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</si>
  <si>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</si>
  <si>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</si>
  <si>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</si>
  <si>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</si>
  <si>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</si>
  <si>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</si>
  <si>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</si>
  <si>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</si>
  <si>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</si>
  <si>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</si>
  <si>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</si>
  <si>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</si>
  <si>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</si>
  <si>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</si>
  <si>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</si>
  <si>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</si>
  <si>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</si>
  <si>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</si>
  <si>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</si>
  <si>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</si>
  <si>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</si>
  <si>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</si>
  <si>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</si>
  <si>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</si>
  <si>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</si>
  <si>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</si>
  <si>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</si>
  <si>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</si>
  <si>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</si>
  <si>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</si>
  <si>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</si>
  <si>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</si>
  <si>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</si>
  <si>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</si>
  <si>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</si>
  <si>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</si>
  <si>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</si>
  <si>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</si>
  <si>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</si>
  <si>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</si>
  <si>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</si>
  <si>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</si>
  <si>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</si>
  <si>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</si>
  <si>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</si>
  <si>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</si>
  <si>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</si>
  <si>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</si>
  <si>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</si>
  <si>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</si>
  <si>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</si>
  <si>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</si>
  <si>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</si>
  <si>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</si>
  <si>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</si>
  <si>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</si>
  <si>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</si>
  <si>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</si>
  <si>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</si>
  <si>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</si>
  <si>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</si>
  <si>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</si>
  <si>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</si>
  <si>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</si>
  <si>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</si>
  <si>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</si>
  <si>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</si>
  <si>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</si>
  <si>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</si>
  <si>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</si>
  <si>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</si>
  <si>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</si>
  <si>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</si>
  <si>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</si>
  <si>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</si>
  <si>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</si>
  <si>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</si>
  <si>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</si>
  <si>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</si>
  <si>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</si>
  <si>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</si>
  <si>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</si>
  <si>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</si>
  <si>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</si>
  <si>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</si>
  <si>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</si>
  <si>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</si>
  <si>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</si>
  <si>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</si>
  <si>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</si>
  <si>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</si>
  <si>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</si>
  <si>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</si>
  <si>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</si>
  <si>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</si>
  <si>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</si>
  <si>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</si>
  <si>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</si>
  <si>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</si>
  <si>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</si>
  <si>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</si>
  <si>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</si>
  <si>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</si>
  <si>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</si>
  <si>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</si>
  <si>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</si>
  <si>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</si>
  <si>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</si>
  <si>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</si>
  <si>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</si>
  <si>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</si>
  <si>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</si>
  <si>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</si>
  <si>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</si>
  <si>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</si>
  <si>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</si>
  <si>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</si>
  <si>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</si>
  <si>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</si>
  <si>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</si>
  <si>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</si>
  <si>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</si>
  <si>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</si>
  <si>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</si>
  <si>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</si>
  <si>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</si>
  <si>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</si>
  <si>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</si>
  <si>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</si>
  <si>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</si>
  <si>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</si>
  <si>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</si>
  <si>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</si>
  <si>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</si>
  <si>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</si>
  <si>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</si>
  <si>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</si>
  <si>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</si>
  <si>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</si>
  <si>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</si>
  <si>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</si>
  <si>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</si>
  <si>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</si>
  <si>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</si>
  <si>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</si>
  <si>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</si>
  <si>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</si>
  <si>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</si>
  <si>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</si>
  <si>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</si>
  <si>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</si>
  <si>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</si>
  <si>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</si>
  <si>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</si>
  <si>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</si>
  <si>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</si>
  <si>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</si>
  <si>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</si>
  <si>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</si>
  <si>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</si>
  <si>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</si>
  <si>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</si>
  <si>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</si>
  <si>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</si>
  <si>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</si>
  <si>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</si>
  <si>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</si>
  <si>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</si>
  <si>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</si>
  <si>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</si>
  <si>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</si>
  <si>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</si>
  <si>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</si>
  <si>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</si>
  <si>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</si>
  <si>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</si>
  <si>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</si>
  <si>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</si>
  <si>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</si>
  <si>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</si>
  <si>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</si>
  <si>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</si>
  <si>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</si>
  <si>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</si>
  <si>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</si>
  <si>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</si>
  <si>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</si>
  <si>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</si>
  <si>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</si>
  <si>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</si>
  <si>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</si>
  <si>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</si>
  <si>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</si>
  <si>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</si>
  <si>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</si>
  <si>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</si>
  <si>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</si>
  <si>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</si>
  <si>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</si>
  <si>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</si>
  <si>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</si>
  <si>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</si>
  <si>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</si>
  <si>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</si>
  <si>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</si>
  <si>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</si>
  <si>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</si>
  <si>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</si>
  <si>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</si>
  <si>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</si>
  <si>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</si>
  <si>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</si>
  <si>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</si>
  <si>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</si>
  <si>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</si>
  <si>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</si>
  <si>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</si>
  <si>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</si>
  <si>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</si>
  <si>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</si>
  <si>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</si>
  <si>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</si>
  <si>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</si>
  <si>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</si>
  <si>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</si>
  <si>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</si>
  <si>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</si>
  <si>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</si>
  <si>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</si>
  <si>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</si>
  <si>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</si>
  <si>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</si>
  <si>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</si>
  <si>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</si>
  <si>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</si>
  <si>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</si>
  <si>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</si>
  <si>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</si>
  <si>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</si>
  <si>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</si>
  <si>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</si>
  <si>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</si>
  <si>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</si>
  <si>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</si>
  <si>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</si>
  <si>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</si>
  <si>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</si>
  <si>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</si>
  <si>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</si>
  <si>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</si>
  <si>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</si>
  <si>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</si>
  <si>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</si>
  <si>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</si>
  <si>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</si>
  <si>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</si>
  <si>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</si>
  <si>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</si>
  <si>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</si>
  <si>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</si>
  <si>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</si>
  <si>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</si>
  <si>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</si>
  <si>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</si>
  <si>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</si>
  <si>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</si>
  <si>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</si>
  <si>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</si>
  <si>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</si>
  <si>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</si>
  <si>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</si>
  <si>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</si>
  <si>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</si>
  <si>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</si>
  <si>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</si>
  <si>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</si>
  <si>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</si>
  <si>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</si>
  <si>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</si>
  <si>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</si>
  <si>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</si>
  <si>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</si>
  <si>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</si>
  <si>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</si>
  <si>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</si>
  <si>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 xml:space="preserve">pergunta 2 - Qual o faturamento total de vendas de planos anuais, separado por autorenovação não e por autorenovação </t>
  </si>
  <si>
    <r>
      <t xml:space="preserve">pergunta 1-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planos anuais (contendo todas as assinaturas agregadas)</t>
    </r>
  </si>
  <si>
    <t>XBOX GAME PASS SUBSCRIPTIONS SALES</t>
  </si>
  <si>
    <t>pergunta 3 - Total de vendas de assinaturas do eaplay</t>
  </si>
  <si>
    <t>Soma de EA Play Season Pass</t>
  </si>
  <si>
    <t>pergunta 4  total de vendas de assinaturas do minecraft season pass</t>
  </si>
  <si>
    <t xml:space="preserve"> 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</si>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</sst>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" fillId="0" borderId="2" xfId="1" applyBorder="1"/>
    <xf numFmtId="0" fontId="0" fillId="0" borderId="2" xfId="0" applyBorder="1"/>
    <xf numFmtId="0" fontId="4" fillId="0" borderId="2" xfId="1" applyFont="1" applyBorder="1" applyAlignment="1">
      <alignment horizontal="left" indent="11"/>
    </xf>
  </cellXfs>
  <cellStyles count="3">
    <cellStyle name="Moeda" xfId="2" builtinId="4"/>
    <cellStyle name="Normal" xfId="0" builtinId="0"/>
    <cellStyle name="Título 1" xfId="1" builtinId="16"/>
  </cellStyles>
  <dxfs count="64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numFmt numFmtId="165" formatCode="&quot;R$&quot;\ #,##0.00"/>
    </dxf>
    <dxf>
      <numFmt numFmtId="165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3C73C0A4-7FF5-4453-8C6C-410247EC22BC}">
      <tableStyleElement type="wholeTable" dxfId="47"/>
      <tableStyleElement type="headerRow" dxfId="46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[dashboardXBOX.xlsx]C̳álculos!tbl_anual_total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424637311388594"/>
          <c:y val="0.20866792368534445"/>
          <c:w val="0.692764548904519"/>
          <c:h val="0.724105221144592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7-45B6-8283-E1A1C27C2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2545119"/>
        <c:axId val="302546079"/>
      </c:barChart>
      <c:catAx>
        <c:axId val="302545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2546079"/>
        <c:crosses val="autoZero"/>
        <c:auto val="1"/>
        <c:lblAlgn val="ctr"/>
        <c:lblOffset val="100"/>
        <c:noMultiLvlLbl val="0"/>
      </c:catAx>
      <c:valAx>
        <c:axId val="302546079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302545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148166</xdr:colOff>
      <xdr:row>0</xdr:row>
      <xdr:rowOff>21167</xdr:rowOff>
    </xdr:from>
    <xdr:to>
      <xdr:col>3</xdr:col>
      <xdr:colOff>116416</xdr:colOff>
      <xdr:row>2</xdr:row>
      <xdr:rowOff>42853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E04590-2D53-4FCF-8893-94ADFDF7F5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98" t="20684" r="72427" b="21333"/>
        <a:stretch/>
      </xdr:blipFill>
      <xdr:spPr>
        <a:xfrm>
          <a:off x="2010833" y="21167"/>
          <a:ext cx="825500" cy="931853"/>
        </a:xfrm>
        <a:prstGeom prst="rect">
          <a:avLst/>
        </a:prstGeom>
      </xdr:spPr>
    </xdr:pic>
    <xdr:clientData/>
  </xdr:twoCellAnchor>
  <xdr:twoCellAnchor editAs="absolute">
    <xdr:from>
      <xdr:col>1</xdr:col>
      <xdr:colOff>83342</xdr:colOff>
      <xdr:row>14</xdr:row>
      <xdr:rowOff>19841</xdr:rowOff>
    </xdr:from>
    <xdr:to>
      <xdr:col>22</xdr:col>
      <xdr:colOff>438150</xdr:colOff>
      <xdr:row>34</xdr:row>
      <xdr:rowOff>41275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CC6045-1509-4C02-A175-45CC682AD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6</xdr:row>
      <xdr:rowOff>178594</xdr:rowOff>
    </xdr:from>
    <xdr:to>
      <xdr:col>0</xdr:col>
      <xdr:colOff>1828800</xdr:colOff>
      <xdr:row>19</xdr:row>
      <xdr:rowOff>119063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3046773C-27E7-4577-B47D-0A0DFB5F7A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61344"/>
              <a:ext cx="1828800" cy="26709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107156</xdr:colOff>
      <xdr:row>4</xdr:row>
      <xdr:rowOff>55723</xdr:rowOff>
    </xdr:from>
    <xdr:to>
      <xdr:col>11</xdr:col>
      <xdr:colOff>404812</xdr:colOff>
      <xdr:row>10</xdr:row>
      <xdr:rowOff>152732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796ED341-6AB4-9C40-AA2E-44BBF9683156}"/>
            </a:ext>
          </a:extLst>
        </xdr:cNvPr>
        <xdr:cNvGrpSpPr/>
      </xdr:nvGrpSpPr>
      <xdr:grpSpPr>
        <a:xfrm>
          <a:off x="1969823" y="1505640"/>
          <a:ext cx="6065572" cy="1345842"/>
          <a:chOff x="1976437" y="1500186"/>
          <a:chExt cx="6000750" cy="1329244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507C3746-9058-D94A-E6C6-34CB5D297F60}"/>
              </a:ext>
            </a:extLst>
          </xdr:cNvPr>
          <xdr:cNvSpPr/>
        </xdr:nvSpPr>
        <xdr:spPr>
          <a:xfrm>
            <a:off x="1976437" y="1500186"/>
            <a:ext cx="5988844" cy="1279923"/>
          </a:xfrm>
          <a:prstGeom prst="roundRect">
            <a:avLst>
              <a:gd name="adj" fmla="val 2093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3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C2A9BC7D-59C6-4B10-9609-3DD160B640C7}"/>
              </a:ext>
            </a:extLst>
          </xdr:cNvPr>
          <xdr:cNvSpPr/>
        </xdr:nvSpPr>
        <xdr:spPr>
          <a:xfrm>
            <a:off x="4393407" y="1766887"/>
            <a:ext cx="2940843" cy="91082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A22AC2A1-4886-4591-9421-89155B9C9937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t>R$ 990,00</a:t>
            </a:fld>
            <a:endParaRPr lang="pt-BR" sz="11500">
              <a:solidFill>
                <a:srgbClr val="22C55E"/>
              </a:solidFill>
            </a:endParaRPr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8AA96588-816D-451E-8993-C1483657E7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81259" y="1616183"/>
            <a:ext cx="1219200" cy="1213247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DB3167D9-7692-7DA8-790E-1B0B0405A9C7}"/>
              </a:ext>
            </a:extLst>
          </xdr:cNvPr>
          <xdr:cNvSpPr/>
        </xdr:nvSpPr>
        <xdr:spPr>
          <a:xfrm>
            <a:off x="1976437" y="1506141"/>
            <a:ext cx="6000750" cy="30956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</a:p>
          <a:p>
            <a:pPr algn="ctr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12</xdr:col>
      <xdr:colOff>542925</xdr:colOff>
      <xdr:row>5</xdr:row>
      <xdr:rowOff>48745</xdr:rowOff>
    </xdr:from>
    <xdr:to>
      <xdr:col>22</xdr:col>
      <xdr:colOff>469106</xdr:colOff>
      <xdr:row>11</xdr:row>
      <xdr:rowOff>959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B6F47839-2280-575B-EDCF-EF224CC4296B}"/>
            </a:ext>
          </a:extLst>
        </xdr:cNvPr>
        <xdr:cNvGrpSpPr/>
      </xdr:nvGrpSpPr>
      <xdr:grpSpPr>
        <a:xfrm>
          <a:off x="8607425" y="1593912"/>
          <a:ext cx="6064514" cy="1296297"/>
          <a:chOff x="8572500" y="1540828"/>
          <a:chExt cx="6022181" cy="1285714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77D89153-C8E8-4C6F-A551-17ECEDEDC94C}"/>
              </a:ext>
            </a:extLst>
          </xdr:cNvPr>
          <xdr:cNvGrpSpPr/>
        </xdr:nvGrpSpPr>
        <xdr:grpSpPr>
          <a:xfrm>
            <a:off x="8572500" y="1540828"/>
            <a:ext cx="6022181" cy="1285714"/>
            <a:chOff x="1976437" y="1500186"/>
            <a:chExt cx="6000750" cy="1279923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B72AAFDF-FB40-AC9D-4121-0D074E3D1F40}"/>
                </a:ext>
              </a:extLst>
            </xdr:cNvPr>
            <xdr:cNvSpPr/>
          </xdr:nvSpPr>
          <xdr:spPr>
            <a:xfrm>
              <a:off x="1976437" y="1500186"/>
              <a:ext cx="5988844" cy="1279923"/>
            </a:xfrm>
            <a:prstGeom prst="roundRect">
              <a:avLst>
                <a:gd name="adj" fmla="val 2093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D33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89DB21F1-A5F5-AB39-7D46-C2B2A382362C}"/>
                </a:ext>
              </a:extLst>
            </xdr:cNvPr>
            <xdr:cNvSpPr/>
          </xdr:nvSpPr>
          <xdr:spPr>
            <a:xfrm>
              <a:off x="4440863" y="1766887"/>
              <a:ext cx="2940843" cy="910829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fld id="{A0E81278-5203-44B6-981D-497D054195D1}" type="TxLink">
                <a:rPr lang="en-US" sz="4000" b="0" i="0" u="none" strike="noStrike">
                  <a:solidFill>
                    <a:srgbClr val="22C55E"/>
                  </a:solidFill>
                  <a:latin typeface="Aptos Narrow"/>
                </a:rPr>
                <a:t>R$ 1.140,00</a:t>
              </a:fld>
              <a:endParaRPr lang="pt-BR" sz="714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43B88A9C-94E3-D72E-8E10-6059C5464121}"/>
                </a:ext>
              </a:extLst>
            </xdr:cNvPr>
            <xdr:cNvSpPr/>
          </xdr:nvSpPr>
          <xdr:spPr>
            <a:xfrm>
              <a:off x="1976437" y="1506141"/>
              <a:ext cx="6000750" cy="309562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</a:t>
              </a:r>
            </a:p>
            <a:p>
              <a:pPr algn="ctr"/>
              <a:endParaRPr lang="pt-BR" sz="11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53D3794B-4B57-4932-A17B-6AD50151DAA1}"/>
              </a:ext>
            </a:extLst>
          </xdr:cNvPr>
          <xdr:cNvGrpSpPr/>
        </xdr:nvGrpSpPr>
        <xdr:grpSpPr>
          <a:xfrm>
            <a:off x="8886825" y="1924050"/>
            <a:ext cx="1549476" cy="752476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D92E6C34-783E-2545-26C8-425D32167D4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6C2D595F-BB25-3A0A-4AA8-3E49FE9CCEB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104775</xdr:colOff>
      <xdr:row>14</xdr:row>
      <xdr:rowOff>85725</xdr:rowOff>
    </xdr:from>
    <xdr:to>
      <xdr:col>22</xdr:col>
      <xdr:colOff>447675</xdr:colOff>
      <xdr:row>17</xdr:row>
      <xdr:rowOff>123825</xdr:rowOff>
    </xdr:to>
    <xdr:sp macro="" textlink="">
      <xdr:nvSpPr>
        <xdr:cNvPr id="21" name="Retângulo: Cantos Superiores Arredondados 20">
          <a:extLst>
            <a:ext uri="{FF2B5EF4-FFF2-40B4-BE49-F238E27FC236}">
              <a16:creationId xmlns:a16="http://schemas.microsoft.com/office/drawing/2014/main" id="{6B070547-831D-4682-A434-11DE924EF1E6}"/>
            </a:ext>
          </a:extLst>
        </xdr:cNvPr>
        <xdr:cNvSpPr/>
      </xdr:nvSpPr>
      <xdr:spPr>
        <a:xfrm>
          <a:off x="1971675" y="3467100"/>
          <a:ext cx="12601575" cy="609600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400" b="1" baseline="0">
              <a:latin typeface="Segoe UI" panose="020B0502040204020203" pitchFamily="34" charset="0"/>
              <a:cs typeface="Segoe UI" panose="020B0502040204020203" pitchFamily="34" charset="0"/>
            </a:rPr>
            <a:t> SUBSCIPTIONS XBOX GAME PASS</a:t>
          </a:r>
        </a:p>
      </xdr:txBody>
    </xdr:sp>
    <xdr:clientData/>
  </xdr:twoCellAnchor>
  <xdr:twoCellAnchor>
    <xdr:from>
      <xdr:col>0</xdr:col>
      <xdr:colOff>364330</xdr:colOff>
      <xdr:row>1</xdr:row>
      <xdr:rowOff>119592</xdr:rowOff>
    </xdr:from>
    <xdr:to>
      <xdr:col>0</xdr:col>
      <xdr:colOff>1174750</xdr:colOff>
      <xdr:row>2</xdr:row>
      <xdr:rowOff>201083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53E310DC-759B-47F0-BA65-B8EACD8F49DE}"/>
            </a:ext>
          </a:extLst>
        </xdr:cNvPr>
        <xdr:cNvSpPr/>
      </xdr:nvSpPr>
      <xdr:spPr>
        <a:xfrm>
          <a:off x="364330" y="310092"/>
          <a:ext cx="810420" cy="737658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yson André" refreshedDate="46313.889379282409" createdVersion="8" refreshedVersion="8" minRefreshableVersion="3" recordCount="295" xr:uid="{2180752D-F504-4475-8EDE-B0F305B8476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546484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x v="0"/>
    <x v="0"/>
    <s v="Yes"/>
    <x v="0"/>
    <s v="Yes"/>
    <n v="20"/>
    <n v="5"/>
    <n v="60"/>
  </r>
  <r>
    <n v="3232"/>
    <s v="Maria Oliveira"/>
    <x v="1"/>
    <d v="2024-01-15T00:00:00"/>
    <x v="1"/>
    <x v="1"/>
    <x v="1"/>
    <s v="No"/>
    <x v="1"/>
    <s v="No"/>
    <n v="0"/>
    <n v="0"/>
    <n v="5"/>
  </r>
  <r>
    <n v="3233"/>
    <s v="Lucas Fernandes"/>
    <x v="2"/>
    <d v="2024-02-10T00:00:00"/>
    <x v="0"/>
    <x v="2"/>
    <x v="2"/>
    <s v="No"/>
    <x v="1"/>
    <s v="Yes"/>
    <n v="20"/>
    <n v="10"/>
    <n v="20"/>
  </r>
  <r>
    <n v="3234"/>
    <s v="Ana Souza"/>
    <x v="0"/>
    <d v="2024-02-20T00:00:00"/>
    <x v="1"/>
    <x v="0"/>
    <x v="0"/>
    <s v="Yes"/>
    <x v="0"/>
    <s v="Yes"/>
    <n v="20"/>
    <n v="3"/>
    <n v="62"/>
  </r>
  <r>
    <n v="3235"/>
    <s v="Pedro Gonçalves"/>
    <x v="1"/>
    <d v="2024-03-05T00:00:00"/>
    <x v="0"/>
    <x v="1"/>
    <x v="0"/>
    <s v="No"/>
    <x v="1"/>
    <s v="No"/>
    <n v="0"/>
    <n v="1"/>
    <n v="4"/>
  </r>
  <r>
    <n v="3236"/>
    <s v="Felipe Costa"/>
    <x v="2"/>
    <d v="2024-03-02T00:00:00"/>
    <x v="1"/>
    <x v="2"/>
    <x v="0"/>
    <s v="No"/>
    <x v="1"/>
    <s v="Yes"/>
    <n v="20"/>
    <n v="2"/>
    <n v="28"/>
  </r>
  <r>
    <n v="3237"/>
    <s v="Camila Ribeiro"/>
    <x v="0"/>
    <d v="2024-03-03T00:00:00"/>
    <x v="0"/>
    <x v="0"/>
    <x v="2"/>
    <s v="Yes"/>
    <x v="0"/>
    <s v="Yes"/>
    <n v="20"/>
    <n v="10"/>
    <n v="55"/>
  </r>
  <r>
    <n v="3238"/>
    <s v="André Mendes"/>
    <x v="1"/>
    <d v="2024-03-04T00:00:00"/>
    <x v="0"/>
    <x v="1"/>
    <x v="1"/>
    <s v="No"/>
    <x v="1"/>
    <s v="No"/>
    <n v="0"/>
    <n v="0"/>
    <n v="5"/>
  </r>
  <r>
    <n v="3239"/>
    <s v="Sofia Almeida"/>
    <x v="0"/>
    <d v="2024-03-05T00:00:00"/>
    <x v="1"/>
    <x v="0"/>
    <x v="0"/>
    <s v="Yes"/>
    <x v="0"/>
    <s v="Yes"/>
    <n v="20"/>
    <n v="5"/>
    <n v="60"/>
  </r>
  <r>
    <n v="3240"/>
    <s v="Bruno Martins"/>
    <x v="2"/>
    <d v="2024-03-06T00:00:00"/>
    <x v="0"/>
    <x v="2"/>
    <x v="2"/>
    <s v="No"/>
    <x v="1"/>
    <s v="Yes"/>
    <n v="20"/>
    <n v="15"/>
    <n v="15"/>
  </r>
  <r>
    <n v="3241"/>
    <s v="Rita Castro"/>
    <x v="1"/>
    <d v="2024-03-07T00:00:00"/>
    <x v="1"/>
    <x v="1"/>
    <x v="0"/>
    <s v="No"/>
    <x v="1"/>
    <s v="No"/>
    <n v="0"/>
    <n v="1"/>
    <n v="4"/>
  </r>
  <r>
    <n v="3242"/>
    <s v="Marco Túlio"/>
    <x v="0"/>
    <d v="2024-03-08T00:00:00"/>
    <x v="0"/>
    <x v="0"/>
    <x v="1"/>
    <s v="Yes"/>
    <x v="0"/>
    <s v="Yes"/>
    <n v="20"/>
    <n v="20"/>
    <n v="45"/>
  </r>
  <r>
    <n v="3243"/>
    <s v="Lívia Silveira"/>
    <x v="2"/>
    <d v="2024-03-09T00:00:00"/>
    <x v="1"/>
    <x v="2"/>
    <x v="0"/>
    <s v="No"/>
    <x v="1"/>
    <s v="Yes"/>
    <n v="20"/>
    <n v="10"/>
    <n v="20"/>
  </r>
  <r>
    <n v="3244"/>
    <s v="Diogo Sousa"/>
    <x v="1"/>
    <d v="2024-03-10T00:00:00"/>
    <x v="0"/>
    <x v="1"/>
    <x v="2"/>
    <s v="No"/>
    <x v="1"/>
    <s v="No"/>
    <n v="0"/>
    <n v="0"/>
    <n v="5"/>
  </r>
  <r>
    <n v="3245"/>
    <s v="Fernanda Lima"/>
    <x v="0"/>
    <d v="2024-03-11T00:00:00"/>
    <x v="1"/>
    <x v="0"/>
    <x v="0"/>
    <s v="Yes"/>
    <x v="0"/>
    <s v="Yes"/>
    <n v="20"/>
    <n v="8"/>
    <n v="57"/>
  </r>
  <r>
    <n v="3246"/>
    <s v="Caio Pereira"/>
    <x v="2"/>
    <d v="2024-03-12T00:00:00"/>
    <x v="0"/>
    <x v="2"/>
    <x v="1"/>
    <s v="No"/>
    <x v="1"/>
    <s v="Yes"/>
    <n v="20"/>
    <n v="12"/>
    <n v="18"/>
  </r>
  <r>
    <n v="3247"/>
    <s v="Beatriz Gomes"/>
    <x v="1"/>
    <d v="2024-03-13T00:00:00"/>
    <x v="1"/>
    <x v="1"/>
    <x v="0"/>
    <s v="No"/>
    <x v="1"/>
    <s v="No"/>
    <n v="0"/>
    <n v="2"/>
    <n v="3"/>
  </r>
  <r>
    <n v="3248"/>
    <s v="Cesar Oliveira"/>
    <x v="0"/>
    <d v="2024-03-14T00:00:00"/>
    <x v="0"/>
    <x v="0"/>
    <x v="2"/>
    <s v="Yes"/>
    <x v="0"/>
    <s v="Yes"/>
    <n v="20"/>
    <n v="7"/>
    <n v="58"/>
  </r>
  <r>
    <n v="3249"/>
    <s v="Débora Machado"/>
    <x v="2"/>
    <d v="2024-03-15T00:00:00"/>
    <x v="1"/>
    <x v="2"/>
    <x v="0"/>
    <s v="No"/>
    <x v="1"/>
    <s v="Yes"/>
    <n v="20"/>
    <n v="5"/>
    <n v="25"/>
  </r>
  <r>
    <n v="3250"/>
    <s v="Eduardo Vargas"/>
    <x v="1"/>
    <d v="2024-03-16T00:00:00"/>
    <x v="0"/>
    <x v="1"/>
    <x v="1"/>
    <s v="No"/>
    <x v="1"/>
    <s v="No"/>
    <n v="0"/>
    <n v="0"/>
    <n v="5"/>
  </r>
  <r>
    <n v="3251"/>
    <s v="Gabriela Santos"/>
    <x v="0"/>
    <d v="2024-03-17T00:00:00"/>
    <x v="1"/>
    <x v="0"/>
    <x v="0"/>
    <s v="Yes"/>
    <x v="0"/>
    <s v="Yes"/>
    <n v="20"/>
    <n v="3"/>
    <n v="62"/>
  </r>
  <r>
    <n v="3252"/>
    <s v="Henrique Dias"/>
    <x v="2"/>
    <d v="2024-03-18T00:00:00"/>
    <x v="0"/>
    <x v="2"/>
    <x v="2"/>
    <s v="No"/>
    <x v="1"/>
    <s v="Yes"/>
    <n v="20"/>
    <n v="15"/>
    <n v="15"/>
  </r>
  <r>
    <n v="3253"/>
    <s v="Isabela Moreira"/>
    <x v="1"/>
    <d v="2024-03-19T00:00:00"/>
    <x v="1"/>
    <x v="1"/>
    <x v="0"/>
    <s v="No"/>
    <x v="1"/>
    <s v="No"/>
    <n v="0"/>
    <n v="1"/>
    <n v="4"/>
  </r>
  <r>
    <n v="3254"/>
    <s v="Joaquim Barbosa"/>
    <x v="0"/>
    <d v="2024-03-20T00:00:00"/>
    <x v="0"/>
    <x v="0"/>
    <x v="1"/>
    <s v="Yes"/>
    <x v="0"/>
    <s v="Yes"/>
    <n v="20"/>
    <n v="20"/>
    <n v="45"/>
  </r>
  <r>
    <n v="3255"/>
    <s v="Lara Rocha"/>
    <x v="2"/>
    <d v="2024-03-21T00:00:00"/>
    <x v="1"/>
    <x v="2"/>
    <x v="0"/>
    <s v="No"/>
    <x v="1"/>
    <s v="Yes"/>
    <n v="20"/>
    <n v="10"/>
    <n v="20"/>
  </r>
  <r>
    <n v="3256"/>
    <s v="Matheus Silva"/>
    <x v="1"/>
    <d v="2024-03-22T00:00:00"/>
    <x v="0"/>
    <x v="1"/>
    <x v="2"/>
    <s v="No"/>
    <x v="1"/>
    <s v="No"/>
    <n v="0"/>
    <n v="0"/>
    <n v="5"/>
  </r>
  <r>
    <n v="3257"/>
    <s v="Nicole Costa"/>
    <x v="0"/>
    <d v="2024-03-23T00:00:00"/>
    <x v="1"/>
    <x v="0"/>
    <x v="0"/>
    <s v="Yes"/>
    <x v="0"/>
    <s v="Yes"/>
    <n v="20"/>
    <n v="5"/>
    <n v="60"/>
  </r>
  <r>
    <n v="3258"/>
    <s v="Otávio Mendonça"/>
    <x v="2"/>
    <d v="2024-03-24T00:00:00"/>
    <x v="0"/>
    <x v="2"/>
    <x v="1"/>
    <s v="No"/>
    <x v="1"/>
    <s v="Yes"/>
    <n v="20"/>
    <n v="15"/>
    <n v="15"/>
  </r>
  <r>
    <n v="3259"/>
    <s v="Paula Ferreira"/>
    <x v="1"/>
    <d v="2024-03-25T00:00:00"/>
    <x v="1"/>
    <x v="1"/>
    <x v="0"/>
    <s v="No"/>
    <x v="1"/>
    <s v="No"/>
    <n v="0"/>
    <n v="1"/>
    <n v="4"/>
  </r>
  <r>
    <n v="3260"/>
    <s v="Raquel Alves"/>
    <x v="0"/>
    <d v="2024-03-26T00:00:00"/>
    <x v="0"/>
    <x v="0"/>
    <x v="2"/>
    <s v="Yes"/>
    <x v="0"/>
    <s v="Yes"/>
    <n v="20"/>
    <n v="7"/>
    <n v="58"/>
  </r>
  <r>
    <n v="3261"/>
    <s v="Samuel Pires"/>
    <x v="2"/>
    <d v="2024-03-27T00:00:00"/>
    <x v="1"/>
    <x v="2"/>
    <x v="0"/>
    <s v="No"/>
    <x v="1"/>
    <s v="Yes"/>
    <n v="20"/>
    <n v="10"/>
    <n v="20"/>
  </r>
  <r>
    <n v="3262"/>
    <s v="Tânia Barros"/>
    <x v="1"/>
    <d v="2024-03-28T00:00:00"/>
    <x v="0"/>
    <x v="1"/>
    <x v="1"/>
    <s v="No"/>
    <x v="1"/>
    <s v="No"/>
    <n v="0"/>
    <n v="0"/>
    <n v="5"/>
  </r>
  <r>
    <n v="3263"/>
    <s v="Vinicius Lima"/>
    <x v="0"/>
    <d v="2024-03-29T00:00:00"/>
    <x v="1"/>
    <x v="0"/>
    <x v="0"/>
    <s v="Yes"/>
    <x v="0"/>
    <s v="Yes"/>
    <n v="20"/>
    <n v="3"/>
    <n v="62"/>
  </r>
  <r>
    <n v="3264"/>
    <s v="Yasmin Teixeira"/>
    <x v="2"/>
    <d v="2024-03-30T00:00:00"/>
    <x v="0"/>
    <x v="2"/>
    <x v="2"/>
    <s v="No"/>
    <x v="1"/>
    <s v="Yes"/>
    <n v="20"/>
    <n v="15"/>
    <n v="15"/>
  </r>
  <r>
    <n v="3265"/>
    <s v="Zé Carlos"/>
    <x v="1"/>
    <d v="2024-03-31T00:00:00"/>
    <x v="1"/>
    <x v="1"/>
    <x v="0"/>
    <s v="No"/>
    <x v="1"/>
    <s v="No"/>
    <n v="0"/>
    <n v="1"/>
    <n v="4"/>
  </r>
  <r>
    <n v="3266"/>
    <s v="Amanda Nogueira"/>
    <x v="1"/>
    <d v="2024-04-01T00:00:00"/>
    <x v="0"/>
    <x v="1"/>
    <x v="0"/>
    <s v="No"/>
    <x v="1"/>
    <s v="No"/>
    <n v="0"/>
    <n v="0"/>
    <n v="5"/>
  </r>
  <r>
    <n v="3267"/>
    <s v="Bruno Cavalheiro"/>
    <x v="0"/>
    <d v="2024-04-02T00:00:00"/>
    <x v="1"/>
    <x v="0"/>
    <x v="2"/>
    <s v="Yes"/>
    <x v="0"/>
    <s v="Yes"/>
    <n v="20"/>
    <n v="7"/>
    <n v="58"/>
  </r>
  <r>
    <n v="3268"/>
    <s v="Carla Dias"/>
    <x v="2"/>
    <d v="2024-04-03T00:00:00"/>
    <x v="0"/>
    <x v="2"/>
    <x v="1"/>
    <s v="No"/>
    <x v="1"/>
    <s v="Yes"/>
    <n v="20"/>
    <n v="10"/>
    <n v="20"/>
  </r>
  <r>
    <n v="3269"/>
    <s v="Diego Fontes"/>
    <x v="1"/>
    <d v="2024-04-04T00:00:00"/>
    <x v="1"/>
    <x v="1"/>
    <x v="2"/>
    <s v="No"/>
    <x v="1"/>
    <s v="No"/>
    <n v="0"/>
    <n v="1"/>
    <n v="4"/>
  </r>
  <r>
    <n v="3270"/>
    <s v="Eunice Lima"/>
    <x v="0"/>
    <d v="2024-04-05T00:00:00"/>
    <x v="0"/>
    <x v="0"/>
    <x v="0"/>
    <s v="Yes"/>
    <x v="0"/>
    <s v="Yes"/>
    <n v="20"/>
    <n v="15"/>
    <n v="50"/>
  </r>
  <r>
    <n v="3271"/>
    <s v="Fábio Martins"/>
    <x v="2"/>
    <d v="2024-04-06T00:00:00"/>
    <x v="1"/>
    <x v="2"/>
    <x v="0"/>
    <s v="No"/>
    <x v="1"/>
    <s v="Yes"/>
    <n v="20"/>
    <n v="5"/>
    <n v="25"/>
  </r>
  <r>
    <n v="3272"/>
    <s v="Gisele Araújo"/>
    <x v="1"/>
    <d v="2024-04-07T00:00:00"/>
    <x v="0"/>
    <x v="1"/>
    <x v="1"/>
    <s v="No"/>
    <x v="1"/>
    <s v="No"/>
    <n v="0"/>
    <n v="0"/>
    <n v="5"/>
  </r>
  <r>
    <n v="3273"/>
    <s v="Hélio Castro"/>
    <x v="0"/>
    <d v="2024-04-08T00:00:00"/>
    <x v="1"/>
    <x v="0"/>
    <x v="2"/>
    <s v="Yes"/>
    <x v="0"/>
    <s v="Yes"/>
    <n v="20"/>
    <n v="20"/>
    <n v="45"/>
  </r>
  <r>
    <n v="3274"/>
    <s v="Ingrid Menezes"/>
    <x v="2"/>
    <d v="2024-04-09T00:00:00"/>
    <x v="0"/>
    <x v="2"/>
    <x v="2"/>
    <s v="No"/>
    <x v="1"/>
    <s v="Yes"/>
    <n v="20"/>
    <n v="12"/>
    <n v="18"/>
  </r>
  <r>
    <n v="3275"/>
    <s v="Jorge Baptista"/>
    <x v="1"/>
    <d v="2024-04-10T00:00:00"/>
    <x v="1"/>
    <x v="1"/>
    <x v="0"/>
    <s v="No"/>
    <x v="1"/>
    <s v="No"/>
    <n v="0"/>
    <n v="2"/>
    <n v="3"/>
  </r>
  <r>
    <n v="3276"/>
    <s v="Kléber Oliveira"/>
    <x v="0"/>
    <d v="2024-04-11T00:00:00"/>
    <x v="0"/>
    <x v="0"/>
    <x v="1"/>
    <s v="Yes"/>
    <x v="0"/>
    <s v="Yes"/>
    <n v="20"/>
    <n v="5"/>
    <n v="60"/>
  </r>
  <r>
    <n v="3277"/>
    <s v="Luciana Freitas"/>
    <x v="2"/>
    <d v="2024-04-12T00:00:00"/>
    <x v="1"/>
    <x v="2"/>
    <x v="0"/>
    <s v="No"/>
    <x v="1"/>
    <s v="Yes"/>
    <n v="20"/>
    <n v="10"/>
    <n v="20"/>
  </r>
  <r>
    <n v="3278"/>
    <s v="Márcia Eller"/>
    <x v="1"/>
    <d v="2024-04-13T00:00:00"/>
    <x v="0"/>
    <x v="1"/>
    <x v="2"/>
    <s v="No"/>
    <x v="1"/>
    <s v="No"/>
    <n v="0"/>
    <n v="0"/>
    <n v="5"/>
  </r>
  <r>
    <n v="3279"/>
    <s v="Nilo Peçanha"/>
    <x v="0"/>
    <d v="2024-04-14T00:00:00"/>
    <x v="1"/>
    <x v="0"/>
    <x v="0"/>
    <s v="Yes"/>
    <x v="0"/>
    <s v="Yes"/>
    <n v="20"/>
    <n v="3"/>
    <n v="62"/>
  </r>
  <r>
    <n v="3280"/>
    <s v="Oscar Neves"/>
    <x v="2"/>
    <d v="2024-04-15T00:00:00"/>
    <x v="0"/>
    <x v="2"/>
    <x v="1"/>
    <s v="No"/>
    <x v="1"/>
    <s v="Yes"/>
    <n v="20"/>
    <n v="15"/>
    <n v="15"/>
  </r>
  <r>
    <n v="3281"/>
    <s v="Patrícia Soares"/>
    <x v="1"/>
    <d v="2024-04-16T00:00:00"/>
    <x v="1"/>
    <x v="1"/>
    <x v="0"/>
    <s v="No"/>
    <x v="1"/>
    <s v="No"/>
    <n v="0"/>
    <n v="1"/>
    <n v="4"/>
  </r>
  <r>
    <n v="3282"/>
    <s v="Quirino Gonçalves"/>
    <x v="0"/>
    <d v="2024-04-17T00:00:00"/>
    <x v="0"/>
    <x v="0"/>
    <x v="2"/>
    <s v="Yes"/>
    <x v="0"/>
    <s v="Yes"/>
    <n v="20"/>
    <n v="7"/>
    <n v="58"/>
  </r>
  <r>
    <n v="3283"/>
    <s v="Raul Machado"/>
    <x v="2"/>
    <d v="2024-04-18T00:00:00"/>
    <x v="1"/>
    <x v="2"/>
    <x v="0"/>
    <s v="No"/>
    <x v="1"/>
    <s v="Yes"/>
    <n v="20"/>
    <n v="10"/>
    <n v="20"/>
  </r>
  <r>
    <n v="3284"/>
    <s v="Sônia Lobo"/>
    <x v="1"/>
    <d v="2024-04-19T00:00:00"/>
    <x v="0"/>
    <x v="1"/>
    <x v="1"/>
    <s v="No"/>
    <x v="1"/>
    <s v="No"/>
    <n v="0"/>
    <n v="0"/>
    <n v="5"/>
  </r>
  <r>
    <n v="3285"/>
    <s v="Tiago Ramos"/>
    <x v="0"/>
    <d v="2024-04-20T00:00:00"/>
    <x v="1"/>
    <x v="0"/>
    <x v="0"/>
    <s v="Yes"/>
    <x v="0"/>
    <s v="Yes"/>
    <n v="20"/>
    <n v="20"/>
    <n v="45"/>
  </r>
  <r>
    <n v="3286"/>
    <s v="Ugo Pires"/>
    <x v="2"/>
    <d v="2024-04-21T00:00:00"/>
    <x v="0"/>
    <x v="2"/>
    <x v="2"/>
    <s v="No"/>
    <x v="1"/>
    <s v="Yes"/>
    <n v="20"/>
    <n v="15"/>
    <n v="15"/>
  </r>
  <r>
    <n v="3287"/>
    <s v="Valéria Nobre"/>
    <x v="1"/>
    <d v="2024-04-22T00:00:00"/>
    <x v="1"/>
    <x v="1"/>
    <x v="0"/>
    <s v="No"/>
    <x v="1"/>
    <s v="No"/>
    <n v="0"/>
    <n v="1"/>
    <n v="4"/>
  </r>
  <r>
    <n v="3288"/>
    <s v="William Siqueira"/>
    <x v="0"/>
    <d v="2024-04-23T00:00:00"/>
    <x v="0"/>
    <x v="0"/>
    <x v="1"/>
    <s v="Yes"/>
    <x v="0"/>
    <s v="Yes"/>
    <n v="20"/>
    <n v="3"/>
    <n v="62"/>
  </r>
  <r>
    <n v="3289"/>
    <s v="Xuxa Meneghel"/>
    <x v="2"/>
    <d v="2024-04-24T00:00:00"/>
    <x v="1"/>
    <x v="2"/>
    <x v="0"/>
    <s v="No"/>
    <x v="1"/>
    <s v="Yes"/>
    <n v="20"/>
    <n v="10"/>
    <n v="20"/>
  </r>
  <r>
    <n v="3290"/>
    <s v="Yara Figueiredo"/>
    <x v="1"/>
    <d v="2024-04-25T00:00:00"/>
    <x v="0"/>
    <x v="1"/>
    <x v="2"/>
    <s v="No"/>
    <x v="1"/>
    <s v="No"/>
    <n v="0"/>
    <n v="0"/>
    <n v="5"/>
  </r>
  <r>
    <n v="3291"/>
    <s v="Zacarias Alves"/>
    <x v="0"/>
    <d v="2024-04-26T00:00:00"/>
    <x v="1"/>
    <x v="0"/>
    <x v="0"/>
    <s v="Yes"/>
    <x v="0"/>
    <s v="Yes"/>
    <n v="20"/>
    <n v="5"/>
    <n v="60"/>
  </r>
  <r>
    <n v="3292"/>
    <s v="Amanda Bynes"/>
    <x v="2"/>
    <d v="2024-04-27T00:00:00"/>
    <x v="0"/>
    <x v="2"/>
    <x v="1"/>
    <s v="No"/>
    <x v="1"/>
    <s v="Yes"/>
    <n v="20"/>
    <n v="15"/>
    <n v="15"/>
  </r>
  <r>
    <n v="3293"/>
    <s v="Bruno Mars"/>
    <x v="1"/>
    <d v="2024-04-28T00:00:00"/>
    <x v="1"/>
    <x v="1"/>
    <x v="0"/>
    <s v="No"/>
    <x v="1"/>
    <s v="No"/>
    <n v="0"/>
    <n v="1"/>
    <n v="4"/>
  </r>
  <r>
    <n v="3294"/>
    <s v="Carla Bruni"/>
    <x v="0"/>
    <d v="2024-04-29T00:00:00"/>
    <x v="0"/>
    <x v="0"/>
    <x v="2"/>
    <s v="Yes"/>
    <x v="0"/>
    <s v="Yes"/>
    <n v="20"/>
    <n v="20"/>
    <n v="45"/>
  </r>
  <r>
    <n v="3295"/>
    <s v="Diego Maradona"/>
    <x v="2"/>
    <d v="2024-04-30T00:00:00"/>
    <x v="1"/>
    <x v="2"/>
    <x v="0"/>
    <s v="No"/>
    <x v="1"/>
    <s v="Yes"/>
    <n v="20"/>
    <n v="5"/>
    <n v="25"/>
  </r>
  <r>
    <n v="3296"/>
    <s v="Estela Marques"/>
    <x v="1"/>
    <d v="2024-05-01T00:00:00"/>
    <x v="1"/>
    <x v="1"/>
    <x v="0"/>
    <s v="No"/>
    <x v="1"/>
    <s v="No"/>
    <n v="0"/>
    <n v="0"/>
    <n v="5"/>
  </r>
  <r>
    <n v="3297"/>
    <s v="Fábio Nobre"/>
    <x v="0"/>
    <d v="2024-05-02T00:00:00"/>
    <x v="0"/>
    <x v="0"/>
    <x v="2"/>
    <s v="Yes"/>
    <x v="0"/>
    <s v="Yes"/>
    <n v="20"/>
    <n v="7"/>
    <n v="58"/>
  </r>
  <r>
    <n v="3298"/>
    <s v="Gabriel Oliveira"/>
    <x v="2"/>
    <d v="2024-05-03T00:00:00"/>
    <x v="1"/>
    <x v="2"/>
    <x v="1"/>
    <s v="No"/>
    <x v="1"/>
    <s v="Yes"/>
    <n v="20"/>
    <n v="10"/>
    <n v="20"/>
  </r>
  <r>
    <n v="3299"/>
    <s v="Helena Santos"/>
    <x v="1"/>
    <d v="2024-05-04T00:00:00"/>
    <x v="0"/>
    <x v="1"/>
    <x v="2"/>
    <s v="No"/>
    <x v="1"/>
    <s v="No"/>
    <n v="0"/>
    <n v="1"/>
    <n v="4"/>
  </r>
  <r>
    <n v="3300"/>
    <s v="Ivan Carvalho"/>
    <x v="0"/>
    <d v="2024-05-05T00:00:00"/>
    <x v="1"/>
    <x v="0"/>
    <x v="0"/>
    <s v="Yes"/>
    <x v="0"/>
    <s v="Yes"/>
    <n v="20"/>
    <n v="15"/>
    <n v="50"/>
  </r>
  <r>
    <n v="3301"/>
    <s v="Júlia Ferreira"/>
    <x v="2"/>
    <d v="2024-05-06T00:00:00"/>
    <x v="0"/>
    <x v="2"/>
    <x v="0"/>
    <s v="No"/>
    <x v="1"/>
    <s v="Yes"/>
    <n v="20"/>
    <n v="5"/>
    <n v="25"/>
  </r>
  <r>
    <n v="3302"/>
    <s v="Karla Alves"/>
    <x v="1"/>
    <d v="2024-05-07T00:00:00"/>
    <x v="1"/>
    <x v="1"/>
    <x v="1"/>
    <s v="No"/>
    <x v="1"/>
    <s v="No"/>
    <n v="0"/>
    <n v="0"/>
    <n v="5"/>
  </r>
  <r>
    <n v="3303"/>
    <s v="Lucas Mendes"/>
    <x v="0"/>
    <d v="2024-05-08T00:00:00"/>
    <x v="0"/>
    <x v="0"/>
    <x v="2"/>
    <s v="Yes"/>
    <x v="0"/>
    <s v="Yes"/>
    <n v="20"/>
    <n v="20"/>
    <n v="45"/>
  </r>
  <r>
    <n v="3304"/>
    <s v="Mônica Gomes"/>
    <x v="2"/>
    <d v="2024-05-09T00:00:00"/>
    <x v="1"/>
    <x v="2"/>
    <x v="2"/>
    <s v="No"/>
    <x v="1"/>
    <s v="Yes"/>
    <n v="20"/>
    <n v="12"/>
    <n v="18"/>
  </r>
  <r>
    <n v="3305"/>
    <s v="Norberto Queiroz"/>
    <x v="1"/>
    <d v="2024-05-10T00:00:00"/>
    <x v="0"/>
    <x v="1"/>
    <x v="0"/>
    <s v="No"/>
    <x v="1"/>
    <s v="No"/>
    <n v="0"/>
    <n v="2"/>
    <n v="3"/>
  </r>
  <r>
    <n v="3306"/>
    <s v="Otávio Barros"/>
    <x v="0"/>
    <d v="2024-05-11T00:00:00"/>
    <x v="1"/>
    <x v="0"/>
    <x v="1"/>
    <s v="Yes"/>
    <x v="0"/>
    <s v="Yes"/>
    <n v="20"/>
    <n v="5"/>
    <n v="60"/>
  </r>
  <r>
    <n v="3307"/>
    <s v="Paula Vieira"/>
    <x v="2"/>
    <d v="2024-05-12T00:00:00"/>
    <x v="0"/>
    <x v="2"/>
    <x v="0"/>
    <s v="No"/>
    <x v="1"/>
    <s v="Yes"/>
    <n v="20"/>
    <n v="10"/>
    <n v="20"/>
  </r>
  <r>
    <n v="3308"/>
    <s v="Quentin Ramos"/>
    <x v="1"/>
    <d v="2024-05-13T00:00:00"/>
    <x v="1"/>
    <x v="1"/>
    <x v="2"/>
    <s v="No"/>
    <x v="1"/>
    <s v="No"/>
    <n v="0"/>
    <n v="0"/>
    <n v="5"/>
  </r>
  <r>
    <n v="3309"/>
    <s v="Raquel Novaes"/>
    <x v="0"/>
    <d v="2024-05-14T00:00:00"/>
    <x v="0"/>
    <x v="0"/>
    <x v="0"/>
    <s v="Yes"/>
    <x v="0"/>
    <s v="Yes"/>
    <n v="20"/>
    <n v="3"/>
    <n v="62"/>
  </r>
  <r>
    <n v="3310"/>
    <s v="Samantha Lopes"/>
    <x v="2"/>
    <d v="2024-05-15T00:00:00"/>
    <x v="1"/>
    <x v="2"/>
    <x v="1"/>
    <s v="No"/>
    <x v="1"/>
    <s v="Yes"/>
    <n v="20"/>
    <n v="15"/>
    <n v="15"/>
  </r>
  <r>
    <n v="3311"/>
    <s v="Tiago Martins"/>
    <x v="1"/>
    <d v="2024-05-16T00:00:00"/>
    <x v="0"/>
    <x v="1"/>
    <x v="0"/>
    <s v="No"/>
    <x v="1"/>
    <s v="No"/>
    <n v="0"/>
    <n v="1"/>
    <n v="4"/>
  </r>
  <r>
    <n v="3312"/>
    <s v="Ulysses Guimarães"/>
    <x v="0"/>
    <d v="2024-05-17T00:00:00"/>
    <x v="1"/>
    <x v="0"/>
    <x v="2"/>
    <s v="Yes"/>
    <x v="0"/>
    <s v="Yes"/>
    <n v="20"/>
    <n v="7"/>
    <n v="58"/>
  </r>
  <r>
    <n v="3313"/>
    <s v="Vanessa Silva"/>
    <x v="2"/>
    <d v="2024-05-18T00:00:00"/>
    <x v="0"/>
    <x v="2"/>
    <x v="0"/>
    <s v="No"/>
    <x v="1"/>
    <s v="Yes"/>
    <n v="20"/>
    <n v="10"/>
    <n v="20"/>
  </r>
  <r>
    <n v="3314"/>
    <s v="William Carneiro"/>
    <x v="1"/>
    <d v="2024-05-19T00:00:00"/>
    <x v="1"/>
    <x v="1"/>
    <x v="1"/>
    <s v="No"/>
    <x v="1"/>
    <s v="No"/>
    <n v="0"/>
    <n v="0"/>
    <n v="5"/>
  </r>
  <r>
    <n v="3315"/>
    <s v="Ximena Rocha"/>
    <x v="0"/>
    <d v="2024-05-20T00:00:00"/>
    <x v="0"/>
    <x v="0"/>
    <x v="0"/>
    <s v="Yes"/>
    <x v="0"/>
    <s v="Yes"/>
    <n v="20"/>
    <n v="20"/>
    <n v="45"/>
  </r>
  <r>
    <n v="3316"/>
    <s v="Yasmin Figueiredo"/>
    <x v="2"/>
    <d v="2024-05-21T00:00:00"/>
    <x v="1"/>
    <x v="2"/>
    <x v="2"/>
    <s v="No"/>
    <x v="1"/>
    <s v="Yes"/>
    <n v="20"/>
    <n v="15"/>
    <n v="15"/>
  </r>
  <r>
    <n v="3317"/>
    <s v="Zara Cunha"/>
    <x v="1"/>
    <d v="2024-05-22T00:00:00"/>
    <x v="0"/>
    <x v="1"/>
    <x v="0"/>
    <s v="No"/>
    <x v="1"/>
    <s v="No"/>
    <n v="0"/>
    <n v="1"/>
    <n v="4"/>
  </r>
  <r>
    <n v="3318"/>
    <s v="Alan Teixeira"/>
    <x v="0"/>
    <d v="2024-05-23T00:00:00"/>
    <x v="1"/>
    <x v="0"/>
    <x v="1"/>
    <s v="Yes"/>
    <x v="0"/>
    <s v="Yes"/>
    <n v="20"/>
    <n v="3"/>
    <n v="62"/>
  </r>
  <r>
    <n v="3319"/>
    <s v="Bárbara Oliveira"/>
    <x v="2"/>
    <d v="2024-05-24T00:00:00"/>
    <x v="0"/>
    <x v="2"/>
    <x v="0"/>
    <s v="No"/>
    <x v="1"/>
    <s v="Yes"/>
    <n v="20"/>
    <n v="10"/>
    <n v="20"/>
  </r>
  <r>
    <n v="3320"/>
    <s v="Carlos Junqueira"/>
    <x v="1"/>
    <d v="2024-05-25T00:00:00"/>
    <x v="1"/>
    <x v="1"/>
    <x v="2"/>
    <s v="No"/>
    <x v="1"/>
    <s v="No"/>
    <n v="0"/>
    <n v="0"/>
    <n v="5"/>
  </r>
  <r>
    <n v="3321"/>
    <s v="Daniela Moura"/>
    <x v="0"/>
    <d v="2024-05-26T00:00:00"/>
    <x v="0"/>
    <x v="0"/>
    <x v="0"/>
    <s v="Yes"/>
    <x v="0"/>
    <s v="Yes"/>
    <n v="20"/>
    <n v="5"/>
    <n v="60"/>
  </r>
  <r>
    <n v="3322"/>
    <s v="Eduardo Lima"/>
    <x v="2"/>
    <d v="2024-05-27T00:00:00"/>
    <x v="1"/>
    <x v="2"/>
    <x v="1"/>
    <s v="No"/>
    <x v="1"/>
    <s v="Yes"/>
    <n v="20"/>
    <n v="15"/>
    <n v="15"/>
  </r>
  <r>
    <n v="3323"/>
    <s v="Fabiana Araújo"/>
    <x v="1"/>
    <d v="2024-05-28T00:00:00"/>
    <x v="0"/>
    <x v="1"/>
    <x v="0"/>
    <s v="No"/>
    <x v="1"/>
    <s v="No"/>
    <n v="0"/>
    <n v="1"/>
    <n v="4"/>
  </r>
  <r>
    <n v="3324"/>
    <s v="Geraldo Ribeiro"/>
    <x v="0"/>
    <d v="2024-05-29T00:00:00"/>
    <x v="1"/>
    <x v="0"/>
    <x v="2"/>
    <s v="Yes"/>
    <x v="0"/>
    <s v="Yes"/>
    <n v="20"/>
    <n v="20"/>
    <n v="45"/>
  </r>
  <r>
    <n v="3325"/>
    <s v="Héctor Vargas"/>
    <x v="2"/>
    <d v="2024-05-30T00:00:00"/>
    <x v="0"/>
    <x v="2"/>
    <x v="2"/>
    <s v="No"/>
    <x v="1"/>
    <s v="Yes"/>
    <n v="20"/>
    <n v="15"/>
    <n v="15"/>
  </r>
  <r>
    <n v="3326"/>
    <s v="Isabela Fonseca"/>
    <x v="1"/>
    <d v="2024-05-31T00:00:00"/>
    <x v="1"/>
    <x v="1"/>
    <x v="1"/>
    <s v="No"/>
    <x v="1"/>
    <s v="No"/>
    <n v="0"/>
    <n v="0"/>
    <n v="5"/>
  </r>
  <r>
    <n v="3327"/>
    <s v="João Pedro Almeida"/>
    <x v="0"/>
    <d v="2024-06-01T00:00:00"/>
    <x v="0"/>
    <x v="0"/>
    <x v="0"/>
    <s v="Yes"/>
    <x v="0"/>
    <s v="Yes"/>
    <n v="20"/>
    <n v="7"/>
    <n v="58"/>
  </r>
  <r>
    <n v="3328"/>
    <s v="Klara Costa"/>
    <x v="2"/>
    <d v="2024-06-02T00:00:00"/>
    <x v="1"/>
    <x v="2"/>
    <x v="1"/>
    <s v="No"/>
    <x v="1"/>
    <s v="Yes"/>
    <n v="20"/>
    <n v="10"/>
    <n v="20"/>
  </r>
  <r>
    <n v="3329"/>
    <s v="Luciana Mendes"/>
    <x v="1"/>
    <d v="2024-06-03T00:00:00"/>
    <x v="0"/>
    <x v="1"/>
    <x v="2"/>
    <s v="No"/>
    <x v="1"/>
    <s v="No"/>
    <n v="0"/>
    <n v="1"/>
    <n v="4"/>
  </r>
  <r>
    <n v="3330"/>
    <s v="Marcelo Gouveia"/>
    <x v="0"/>
    <d v="2024-06-04T00:00:00"/>
    <x v="1"/>
    <x v="0"/>
    <x v="0"/>
    <s v="Yes"/>
    <x v="0"/>
    <s v="Yes"/>
    <n v="20"/>
    <n v="15"/>
    <n v="50"/>
  </r>
  <r>
    <n v="3331"/>
    <s v="Nívea Borges"/>
    <x v="2"/>
    <d v="2024-06-05T00:00:00"/>
    <x v="0"/>
    <x v="2"/>
    <x v="0"/>
    <s v="No"/>
    <x v="1"/>
    <s v="Yes"/>
    <n v="20"/>
    <n v="5"/>
    <n v="25"/>
  </r>
  <r>
    <n v="3332"/>
    <s v="Oscar Nogueira"/>
    <x v="1"/>
    <d v="2024-06-06T00:00:00"/>
    <x v="1"/>
    <x v="1"/>
    <x v="1"/>
    <s v="No"/>
    <x v="1"/>
    <s v="No"/>
    <n v="0"/>
    <n v="0"/>
    <n v="5"/>
  </r>
  <r>
    <n v="3333"/>
    <s v="Patrícia Alves"/>
    <x v="0"/>
    <d v="2024-06-07T00:00:00"/>
    <x v="0"/>
    <x v="0"/>
    <x v="2"/>
    <s v="Yes"/>
    <x v="0"/>
    <s v="Yes"/>
    <n v="20"/>
    <n v="20"/>
    <n v="45"/>
  </r>
  <r>
    <n v="3334"/>
    <s v="Rafaela Silva"/>
    <x v="2"/>
    <d v="2024-06-08T00:00:00"/>
    <x v="1"/>
    <x v="2"/>
    <x v="2"/>
    <s v="No"/>
    <x v="1"/>
    <s v="Yes"/>
    <n v="20"/>
    <n v="12"/>
    <n v="18"/>
  </r>
  <r>
    <n v="3335"/>
    <s v="Samantha Moraes"/>
    <x v="1"/>
    <d v="2024-06-09T00:00:00"/>
    <x v="0"/>
    <x v="1"/>
    <x v="0"/>
    <s v="No"/>
    <x v="1"/>
    <s v="No"/>
    <n v="0"/>
    <n v="2"/>
    <n v="3"/>
  </r>
  <r>
    <n v="3336"/>
    <s v="Tatiana Rocha"/>
    <x v="1"/>
    <d v="2024-06-10T00:00:00"/>
    <x v="0"/>
    <x v="1"/>
    <x v="0"/>
    <s v="No"/>
    <x v="1"/>
    <s v="No"/>
    <n v="0"/>
    <n v="0"/>
    <n v="5"/>
  </r>
  <r>
    <n v="3337"/>
    <s v="Ulisses Tavares"/>
    <x v="0"/>
    <d v="2024-06-11T00:00:00"/>
    <x v="1"/>
    <x v="0"/>
    <x v="2"/>
    <s v="Yes"/>
    <x v="0"/>
    <s v="Yes"/>
    <n v="20"/>
    <n v="7"/>
    <n v="58"/>
  </r>
  <r>
    <n v="3338"/>
    <s v="Víctor Lemos"/>
    <x v="2"/>
    <d v="2024-06-12T00:00:00"/>
    <x v="0"/>
    <x v="2"/>
    <x v="1"/>
    <s v="No"/>
    <x v="1"/>
    <s v="Yes"/>
    <n v="20"/>
    <n v="10"/>
    <n v="20"/>
  </r>
  <r>
    <n v="3339"/>
    <s v="Wilma Barros"/>
    <x v="1"/>
    <d v="2024-06-13T00:00:00"/>
    <x v="1"/>
    <x v="1"/>
    <x v="2"/>
    <s v="No"/>
    <x v="1"/>
    <s v="No"/>
    <n v="0"/>
    <n v="1"/>
    <n v="4"/>
  </r>
  <r>
    <n v="3340"/>
    <s v="Xavier Nascimento"/>
    <x v="0"/>
    <d v="2024-06-14T00:00:00"/>
    <x v="0"/>
    <x v="0"/>
    <x v="0"/>
    <s v="Yes"/>
    <x v="0"/>
    <s v="Yes"/>
    <n v="20"/>
    <n v="15"/>
    <n v="50"/>
  </r>
  <r>
    <n v="3341"/>
    <s v="Yago Pereira"/>
    <x v="2"/>
    <d v="2024-06-15T00:00:00"/>
    <x v="1"/>
    <x v="2"/>
    <x v="0"/>
    <s v="No"/>
    <x v="1"/>
    <s v="Yes"/>
    <n v="20"/>
    <n v="5"/>
    <n v="25"/>
  </r>
  <r>
    <n v="3342"/>
    <s v="Zilda Ferreira"/>
    <x v="1"/>
    <d v="2024-06-16T00:00:00"/>
    <x v="0"/>
    <x v="1"/>
    <x v="1"/>
    <s v="No"/>
    <x v="1"/>
    <s v="No"/>
    <n v="0"/>
    <n v="0"/>
    <n v="5"/>
  </r>
  <r>
    <n v="3343"/>
    <s v="Amanda Lopes"/>
    <x v="0"/>
    <d v="2024-06-17T00:00:00"/>
    <x v="1"/>
    <x v="0"/>
    <x v="2"/>
    <s v="Yes"/>
    <x v="0"/>
    <s v="Yes"/>
    <n v="20"/>
    <n v="20"/>
    <n v="45"/>
  </r>
  <r>
    <n v="3344"/>
    <s v="Bruno Miranda"/>
    <x v="2"/>
    <d v="2024-06-18T00:00:00"/>
    <x v="0"/>
    <x v="2"/>
    <x v="2"/>
    <s v="No"/>
    <x v="1"/>
    <s v="Yes"/>
    <n v="20"/>
    <n v="12"/>
    <n v="18"/>
  </r>
  <r>
    <n v="3345"/>
    <s v="Célia Torres"/>
    <x v="1"/>
    <d v="2024-06-19T00:00:00"/>
    <x v="1"/>
    <x v="1"/>
    <x v="0"/>
    <s v="No"/>
    <x v="1"/>
    <s v="No"/>
    <n v="0"/>
    <n v="2"/>
    <n v="3"/>
  </r>
  <r>
    <n v="3346"/>
    <s v="Diogo Souza"/>
    <x v="0"/>
    <d v="2024-06-20T00:00:00"/>
    <x v="0"/>
    <x v="0"/>
    <x v="1"/>
    <s v="Yes"/>
    <x v="0"/>
    <s v="Yes"/>
    <n v="20"/>
    <n v="5"/>
    <n v="60"/>
  </r>
  <r>
    <n v="3347"/>
    <s v="Elisa Castro"/>
    <x v="2"/>
    <d v="2024-06-21T00:00:00"/>
    <x v="1"/>
    <x v="2"/>
    <x v="0"/>
    <s v="No"/>
    <x v="1"/>
    <s v="Yes"/>
    <n v="20"/>
    <n v="10"/>
    <n v="20"/>
  </r>
  <r>
    <n v="3348"/>
    <s v="Fátima Lima"/>
    <x v="1"/>
    <d v="2024-06-22T00:00:00"/>
    <x v="0"/>
    <x v="1"/>
    <x v="2"/>
    <s v="No"/>
    <x v="1"/>
    <s v="No"/>
    <n v="0"/>
    <n v="0"/>
    <n v="5"/>
  </r>
  <r>
    <n v="3349"/>
    <s v="Geraldo Ribeiro"/>
    <x v="0"/>
    <d v="2024-06-23T00:00:00"/>
    <x v="1"/>
    <x v="0"/>
    <x v="0"/>
    <s v="Yes"/>
    <x v="0"/>
    <s v="Yes"/>
    <n v="20"/>
    <n v="3"/>
    <n v="62"/>
  </r>
  <r>
    <n v="3350"/>
    <s v="Hélio Martins"/>
    <x v="2"/>
    <d v="2024-06-24T00:00:00"/>
    <x v="0"/>
    <x v="2"/>
    <x v="1"/>
    <s v="No"/>
    <x v="1"/>
    <s v="Yes"/>
    <n v="20"/>
    <n v="15"/>
    <n v="15"/>
  </r>
  <r>
    <n v="3351"/>
    <s v="Íris Santos"/>
    <x v="1"/>
    <d v="2024-06-25T00:00:00"/>
    <x v="1"/>
    <x v="1"/>
    <x v="0"/>
    <s v="No"/>
    <x v="1"/>
    <s v="No"/>
    <n v="0"/>
    <n v="1"/>
    <n v="4"/>
  </r>
  <r>
    <n v="3352"/>
    <s v="João Marcelo"/>
    <x v="0"/>
    <d v="2024-06-26T00:00:00"/>
    <x v="0"/>
    <x v="0"/>
    <x v="2"/>
    <s v="Yes"/>
    <x v="0"/>
    <s v="Yes"/>
    <n v="20"/>
    <n v="7"/>
    <n v="58"/>
  </r>
  <r>
    <n v="3353"/>
    <s v="Larissa Gomes"/>
    <x v="2"/>
    <d v="2024-06-27T00:00:00"/>
    <x v="1"/>
    <x v="2"/>
    <x v="0"/>
    <s v="No"/>
    <x v="1"/>
    <s v="Yes"/>
    <n v="20"/>
    <n v="10"/>
    <n v="20"/>
  </r>
  <r>
    <n v="3354"/>
    <s v="Márcio Silva"/>
    <x v="1"/>
    <d v="2024-06-28T00:00:00"/>
    <x v="0"/>
    <x v="1"/>
    <x v="1"/>
    <s v="No"/>
    <x v="1"/>
    <s v="No"/>
    <n v="0"/>
    <n v="0"/>
    <n v="5"/>
  </r>
  <r>
    <n v="3355"/>
    <s v="Nadia Costa"/>
    <x v="0"/>
    <d v="2024-06-29T00:00:00"/>
    <x v="1"/>
    <x v="0"/>
    <x v="0"/>
    <s v="Yes"/>
    <x v="0"/>
    <s v="Yes"/>
    <n v="20"/>
    <n v="20"/>
    <n v="45"/>
  </r>
  <r>
    <n v="3356"/>
    <s v="Oscar Almeida"/>
    <x v="2"/>
    <d v="2024-06-30T00:00:00"/>
    <x v="0"/>
    <x v="2"/>
    <x v="2"/>
    <s v="No"/>
    <x v="1"/>
    <s v="Yes"/>
    <n v="20"/>
    <n v="15"/>
    <n v="15"/>
  </r>
  <r>
    <n v="3357"/>
    <s v="Patricia Soares"/>
    <x v="1"/>
    <d v="2024-07-01T00:00:00"/>
    <x v="1"/>
    <x v="1"/>
    <x v="0"/>
    <s v="No"/>
    <x v="1"/>
    <s v="No"/>
    <n v="0"/>
    <n v="1"/>
    <n v="4"/>
  </r>
  <r>
    <n v="3358"/>
    <s v="Quênia Barros"/>
    <x v="0"/>
    <d v="2024-07-02T00:00:00"/>
    <x v="0"/>
    <x v="0"/>
    <x v="1"/>
    <s v="Yes"/>
    <x v="0"/>
    <s v="Yes"/>
    <n v="20"/>
    <n v="3"/>
    <n v="62"/>
  </r>
  <r>
    <n v="3359"/>
    <s v="Rafael Torres"/>
    <x v="2"/>
    <d v="2024-07-03T00:00:00"/>
    <x v="1"/>
    <x v="2"/>
    <x v="0"/>
    <s v="No"/>
    <x v="1"/>
    <s v="Yes"/>
    <n v="20"/>
    <n v="10"/>
    <n v="20"/>
  </r>
  <r>
    <n v="3360"/>
    <s v="Silvia Nascimento"/>
    <x v="1"/>
    <d v="2024-07-04T00:00:00"/>
    <x v="0"/>
    <x v="1"/>
    <x v="2"/>
    <s v="No"/>
    <x v="1"/>
    <s v="No"/>
    <n v="0"/>
    <n v="0"/>
    <n v="5"/>
  </r>
  <r>
    <n v="3361"/>
    <s v="Tiago Mendes"/>
    <x v="0"/>
    <d v="2024-07-05T00:00:00"/>
    <x v="1"/>
    <x v="0"/>
    <x v="0"/>
    <s v="Yes"/>
    <x v="0"/>
    <s v="Yes"/>
    <n v="20"/>
    <n v="15"/>
    <n v="50"/>
  </r>
  <r>
    <n v="3362"/>
    <s v="Ursula Silva"/>
    <x v="2"/>
    <d v="2024-07-06T00:00:00"/>
    <x v="0"/>
    <x v="2"/>
    <x v="1"/>
    <s v="No"/>
    <x v="1"/>
    <s v="Yes"/>
    <n v="20"/>
    <n v="15"/>
    <n v="15"/>
  </r>
  <r>
    <n v="3363"/>
    <s v="Vanessa Moraes"/>
    <x v="1"/>
    <d v="2024-07-07T00:00:00"/>
    <x v="1"/>
    <x v="1"/>
    <x v="0"/>
    <s v="No"/>
    <x v="1"/>
    <s v="No"/>
    <n v="0"/>
    <n v="1"/>
    <n v="4"/>
  </r>
  <r>
    <n v="3364"/>
    <s v="Waldir Junior"/>
    <x v="0"/>
    <d v="2024-07-08T00:00:00"/>
    <x v="0"/>
    <x v="0"/>
    <x v="2"/>
    <s v="Yes"/>
    <x v="0"/>
    <s v="Yes"/>
    <n v="20"/>
    <n v="7"/>
    <n v="58"/>
  </r>
  <r>
    <n v="3365"/>
    <s v="Xavier Lopes"/>
    <x v="2"/>
    <d v="2024-07-09T00:00:00"/>
    <x v="1"/>
    <x v="2"/>
    <x v="0"/>
    <s v="No"/>
    <x v="1"/>
    <s v="Yes"/>
    <n v="20"/>
    <n v="10"/>
    <n v="20"/>
  </r>
  <r>
    <n v="3366"/>
    <s v="Yolanda Freitas"/>
    <x v="1"/>
    <d v="2024-07-10T00:00:00"/>
    <x v="0"/>
    <x v="1"/>
    <x v="0"/>
    <s v="No"/>
    <x v="1"/>
    <s v="No"/>
    <n v="0"/>
    <n v="0"/>
    <n v="5"/>
  </r>
  <r>
    <n v="3367"/>
    <s v="Zacarias Nunes"/>
    <x v="0"/>
    <d v="2024-07-11T00:00:00"/>
    <x v="1"/>
    <x v="0"/>
    <x v="2"/>
    <s v="Yes"/>
    <x v="0"/>
    <s v="Yes"/>
    <n v="20"/>
    <n v="7"/>
    <n v="58"/>
  </r>
  <r>
    <n v="3368"/>
    <s v="Ana Clara Barreto"/>
    <x v="2"/>
    <d v="2024-07-12T00:00:00"/>
    <x v="0"/>
    <x v="2"/>
    <x v="1"/>
    <s v="No"/>
    <x v="1"/>
    <s v="Yes"/>
    <n v="20"/>
    <n v="10"/>
    <n v="20"/>
  </r>
  <r>
    <n v="3369"/>
    <s v="Bruno Henrique"/>
    <x v="1"/>
    <d v="2024-07-13T00:00:00"/>
    <x v="1"/>
    <x v="1"/>
    <x v="2"/>
    <s v="No"/>
    <x v="1"/>
    <s v="No"/>
    <n v="0"/>
    <n v="1"/>
    <n v="4"/>
  </r>
  <r>
    <n v="3370"/>
    <s v="Carlos Eduardo"/>
    <x v="0"/>
    <d v="2024-07-14T00:00:00"/>
    <x v="0"/>
    <x v="0"/>
    <x v="0"/>
    <s v="Yes"/>
    <x v="0"/>
    <s v="Yes"/>
    <n v="20"/>
    <n v="15"/>
    <n v="50"/>
  </r>
  <r>
    <n v="3371"/>
    <s v="Débora Lima"/>
    <x v="2"/>
    <d v="2024-07-15T00:00:00"/>
    <x v="1"/>
    <x v="2"/>
    <x v="0"/>
    <s v="No"/>
    <x v="1"/>
    <s v="Yes"/>
    <n v="20"/>
    <n v="5"/>
    <n v="25"/>
  </r>
  <r>
    <n v="3372"/>
    <s v="Elisa Neves"/>
    <x v="1"/>
    <d v="2024-07-16T00:00:00"/>
    <x v="0"/>
    <x v="1"/>
    <x v="1"/>
    <s v="No"/>
    <x v="1"/>
    <s v="No"/>
    <n v="0"/>
    <n v="0"/>
    <n v="5"/>
  </r>
  <r>
    <n v="3373"/>
    <s v="Fabiano Gomes"/>
    <x v="0"/>
    <d v="2024-07-17T00:00:00"/>
    <x v="1"/>
    <x v="0"/>
    <x v="2"/>
    <s v="Yes"/>
    <x v="0"/>
    <s v="Yes"/>
    <n v="20"/>
    <n v="20"/>
    <n v="45"/>
  </r>
  <r>
    <n v="3374"/>
    <s v="Gisele Oliveira"/>
    <x v="2"/>
    <d v="2024-07-18T00:00:00"/>
    <x v="0"/>
    <x v="2"/>
    <x v="2"/>
    <s v="No"/>
    <x v="1"/>
    <s v="Yes"/>
    <n v="20"/>
    <n v="12"/>
    <n v="18"/>
  </r>
  <r>
    <n v="3375"/>
    <s v="Héctor Silva"/>
    <x v="1"/>
    <d v="2024-07-19T00:00:00"/>
    <x v="1"/>
    <x v="1"/>
    <x v="0"/>
    <s v="No"/>
    <x v="1"/>
    <s v="No"/>
    <n v="0"/>
    <n v="2"/>
    <n v="3"/>
  </r>
  <r>
    <n v="3376"/>
    <s v="Igor Martins"/>
    <x v="0"/>
    <d v="2024-07-20T00:00:00"/>
    <x v="0"/>
    <x v="0"/>
    <x v="1"/>
    <s v="Yes"/>
    <x v="0"/>
    <s v="Yes"/>
    <n v="20"/>
    <n v="5"/>
    <n v="60"/>
  </r>
  <r>
    <n v="3377"/>
    <s v="Joana Figueiredo"/>
    <x v="2"/>
    <d v="2024-07-21T00:00:00"/>
    <x v="1"/>
    <x v="2"/>
    <x v="0"/>
    <s v="No"/>
    <x v="1"/>
    <s v="Yes"/>
    <n v="20"/>
    <n v="10"/>
    <n v="20"/>
  </r>
  <r>
    <n v="3378"/>
    <s v="Kleber Machado"/>
    <x v="1"/>
    <d v="2024-07-22T00:00:00"/>
    <x v="0"/>
    <x v="1"/>
    <x v="2"/>
    <s v="No"/>
    <x v="1"/>
    <s v="No"/>
    <n v="0"/>
    <n v="0"/>
    <n v="5"/>
  </r>
  <r>
    <n v="3379"/>
    <s v="Luciana Santos"/>
    <x v="0"/>
    <d v="2024-07-23T00:00:00"/>
    <x v="1"/>
    <x v="0"/>
    <x v="0"/>
    <s v="Yes"/>
    <x v="0"/>
    <s v="Yes"/>
    <n v="20"/>
    <n v="3"/>
    <n v="62"/>
  </r>
  <r>
    <n v="3380"/>
    <s v="Marcos Teixeira"/>
    <x v="2"/>
    <d v="2024-07-24T00:00:00"/>
    <x v="0"/>
    <x v="2"/>
    <x v="1"/>
    <s v="No"/>
    <x v="1"/>
    <s v="Yes"/>
    <n v="20"/>
    <n v="15"/>
    <n v="15"/>
  </r>
  <r>
    <n v="3381"/>
    <s v="Natalia Costa"/>
    <x v="1"/>
    <d v="2024-07-25T00:00:00"/>
    <x v="1"/>
    <x v="1"/>
    <x v="0"/>
    <s v="No"/>
    <x v="1"/>
    <s v="No"/>
    <n v="0"/>
    <n v="1"/>
    <n v="4"/>
  </r>
  <r>
    <n v="3382"/>
    <s v="Oscar Ribeiro"/>
    <x v="0"/>
    <d v="2024-07-26T00:00:00"/>
    <x v="0"/>
    <x v="0"/>
    <x v="2"/>
    <s v="Yes"/>
    <x v="0"/>
    <s v="Yes"/>
    <n v="20"/>
    <n v="7"/>
    <n v="58"/>
  </r>
  <r>
    <n v="3383"/>
    <s v="Patricia Almeida"/>
    <x v="2"/>
    <d v="2024-07-27T00:00:00"/>
    <x v="1"/>
    <x v="2"/>
    <x v="0"/>
    <s v="No"/>
    <x v="1"/>
    <s v="Yes"/>
    <n v="20"/>
    <n v="10"/>
    <n v="20"/>
  </r>
  <r>
    <n v="3384"/>
    <s v="Quirino Junior"/>
    <x v="1"/>
    <d v="2024-07-28T00:00:00"/>
    <x v="0"/>
    <x v="1"/>
    <x v="1"/>
    <s v="No"/>
    <x v="1"/>
    <s v="No"/>
    <n v="0"/>
    <n v="0"/>
    <n v="5"/>
  </r>
  <r>
    <n v="3385"/>
    <s v="Renata Machado"/>
    <x v="0"/>
    <d v="2024-07-29T00:00:00"/>
    <x v="1"/>
    <x v="0"/>
    <x v="0"/>
    <s v="Yes"/>
    <x v="0"/>
    <s v="Yes"/>
    <n v="20"/>
    <n v="20"/>
    <n v="45"/>
  </r>
  <r>
    <n v="3386"/>
    <s v="Sônia Alves"/>
    <x v="2"/>
    <d v="2024-07-30T00:00:00"/>
    <x v="0"/>
    <x v="2"/>
    <x v="2"/>
    <s v="No"/>
    <x v="1"/>
    <s v="Yes"/>
    <n v="20"/>
    <n v="15"/>
    <n v="15"/>
  </r>
  <r>
    <n v="3387"/>
    <s v="Tiago Nunes"/>
    <x v="1"/>
    <d v="2024-07-31T00:00:00"/>
    <x v="1"/>
    <x v="1"/>
    <x v="0"/>
    <s v="No"/>
    <x v="1"/>
    <s v="No"/>
    <n v="0"/>
    <n v="1"/>
    <n v="4"/>
  </r>
  <r>
    <n v="3388"/>
    <s v="Ulysses Pereira"/>
    <x v="0"/>
    <d v="2024-08-01T00:00:00"/>
    <x v="0"/>
    <x v="0"/>
    <x v="1"/>
    <s v="Yes"/>
    <x v="0"/>
    <s v="Yes"/>
    <n v="20"/>
    <n v="3"/>
    <n v="62"/>
  </r>
  <r>
    <n v="3389"/>
    <s v="Vanessa Lima"/>
    <x v="2"/>
    <d v="2024-08-02T00:00:00"/>
    <x v="1"/>
    <x v="2"/>
    <x v="0"/>
    <s v="No"/>
    <x v="1"/>
    <s v="Yes"/>
    <n v="20"/>
    <n v="10"/>
    <n v="20"/>
  </r>
  <r>
    <n v="3390"/>
    <s v="Wagner Santos"/>
    <x v="1"/>
    <d v="2024-08-03T00:00:00"/>
    <x v="0"/>
    <x v="1"/>
    <x v="2"/>
    <s v="No"/>
    <x v="1"/>
    <s v="No"/>
    <n v="0"/>
    <n v="0"/>
    <n v="5"/>
  </r>
  <r>
    <n v="3391"/>
    <s v="Xuxa Meneghel"/>
    <x v="0"/>
    <d v="2024-08-04T00:00:00"/>
    <x v="1"/>
    <x v="0"/>
    <x v="0"/>
    <s v="Yes"/>
    <x v="0"/>
    <s v="Yes"/>
    <n v="20"/>
    <n v="15"/>
    <n v="50"/>
  </r>
  <r>
    <n v="3392"/>
    <s v="Yasmin Silva"/>
    <x v="2"/>
    <d v="2024-08-05T00:00:00"/>
    <x v="0"/>
    <x v="2"/>
    <x v="1"/>
    <s v="No"/>
    <x v="1"/>
    <s v="Yes"/>
    <n v="20"/>
    <n v="15"/>
    <n v="15"/>
  </r>
  <r>
    <n v="3393"/>
    <s v="Zacarias de Souza"/>
    <x v="1"/>
    <d v="2024-08-06T00:00:00"/>
    <x v="1"/>
    <x v="1"/>
    <x v="0"/>
    <s v="No"/>
    <x v="1"/>
    <s v="No"/>
    <n v="0"/>
    <n v="1"/>
    <n v="4"/>
  </r>
  <r>
    <n v="3394"/>
    <s v="André Lima"/>
    <x v="0"/>
    <d v="2024-08-07T00:00:00"/>
    <x v="0"/>
    <x v="0"/>
    <x v="2"/>
    <s v="Yes"/>
    <x v="0"/>
    <s v="Yes"/>
    <n v="20"/>
    <n v="7"/>
    <n v="58"/>
  </r>
  <r>
    <n v="3395"/>
    <s v="Bianca Freitas"/>
    <x v="2"/>
    <d v="2024-08-08T00:00:00"/>
    <x v="1"/>
    <x v="2"/>
    <x v="0"/>
    <s v="No"/>
    <x v="1"/>
    <s v="Yes"/>
    <n v="20"/>
    <n v="10"/>
    <n v="20"/>
  </r>
  <r>
    <n v="3396"/>
    <s v="Caio Mendes"/>
    <x v="1"/>
    <d v="2024-08-09T00:00:00"/>
    <x v="0"/>
    <x v="1"/>
    <x v="1"/>
    <s v="No"/>
    <x v="1"/>
    <s v="No"/>
    <n v="0"/>
    <n v="0"/>
    <n v="5"/>
  </r>
  <r>
    <n v="3397"/>
    <s v="Daniela Moura"/>
    <x v="0"/>
    <d v="2024-08-10T00:00:00"/>
    <x v="1"/>
    <x v="0"/>
    <x v="0"/>
    <s v="Yes"/>
    <x v="0"/>
    <s v="Yes"/>
    <n v="20"/>
    <n v="20"/>
    <n v="45"/>
  </r>
  <r>
    <n v="3398"/>
    <s v="Eduardo Costa"/>
    <x v="2"/>
    <d v="2024-08-11T00:00:00"/>
    <x v="0"/>
    <x v="2"/>
    <x v="2"/>
    <s v="No"/>
    <x v="1"/>
    <s v="Yes"/>
    <n v="20"/>
    <n v="15"/>
    <n v="15"/>
  </r>
  <r>
    <n v="3399"/>
    <s v="Fernanda Gomes"/>
    <x v="1"/>
    <d v="2024-08-12T00:00:00"/>
    <x v="1"/>
    <x v="1"/>
    <x v="0"/>
    <s v="No"/>
    <x v="1"/>
    <s v="No"/>
    <n v="0"/>
    <n v="1"/>
    <n v="4"/>
  </r>
  <r>
    <n v="3400"/>
    <s v="Guilherme Souza"/>
    <x v="0"/>
    <d v="2024-08-13T00:00:00"/>
    <x v="0"/>
    <x v="0"/>
    <x v="1"/>
    <s v="Yes"/>
    <x v="0"/>
    <s v="Yes"/>
    <n v="20"/>
    <n v="5"/>
    <n v="60"/>
  </r>
  <r>
    <n v="3401"/>
    <s v="Helena Ribeiro"/>
    <x v="2"/>
    <d v="2024-08-14T00:00:00"/>
    <x v="1"/>
    <x v="2"/>
    <x v="0"/>
    <s v="No"/>
    <x v="1"/>
    <s v="Yes"/>
    <n v="20"/>
    <n v="10"/>
    <n v="20"/>
  </r>
  <r>
    <n v="3402"/>
    <s v="Igor Santos"/>
    <x v="1"/>
    <d v="2024-08-15T00:00:00"/>
    <x v="0"/>
    <x v="1"/>
    <x v="2"/>
    <s v="No"/>
    <x v="1"/>
    <s v="No"/>
    <n v="0"/>
    <n v="0"/>
    <n v="5"/>
  </r>
  <r>
    <n v="3403"/>
    <s v="João Carvalho"/>
    <x v="0"/>
    <d v="2024-08-16T00:00:00"/>
    <x v="1"/>
    <x v="0"/>
    <x v="0"/>
    <s v="Yes"/>
    <x v="0"/>
    <s v="Yes"/>
    <n v="20"/>
    <n v="3"/>
    <n v="62"/>
  </r>
  <r>
    <n v="3404"/>
    <s v="Klara Fagundes"/>
    <x v="2"/>
    <d v="2024-08-17T00:00:00"/>
    <x v="0"/>
    <x v="2"/>
    <x v="1"/>
    <s v="No"/>
    <x v="1"/>
    <s v="Yes"/>
    <n v="20"/>
    <n v="15"/>
    <n v="15"/>
  </r>
  <r>
    <n v="3405"/>
    <s v="Lúcia Mendonça"/>
    <x v="1"/>
    <d v="2024-08-18T00:00:00"/>
    <x v="1"/>
    <x v="1"/>
    <x v="0"/>
    <s v="No"/>
    <x v="1"/>
    <s v="No"/>
    <n v="0"/>
    <n v="1"/>
    <n v="4"/>
  </r>
  <r>
    <n v="3406"/>
    <s v="Marcelo Novaes"/>
    <x v="1"/>
    <d v="2024-08-19T00:00:00"/>
    <x v="0"/>
    <x v="1"/>
    <x v="0"/>
    <s v="No"/>
    <x v="1"/>
    <s v="No"/>
    <n v="0"/>
    <n v="0"/>
    <n v="5"/>
  </r>
  <r>
    <n v="3407"/>
    <s v="Nina Pacheco"/>
    <x v="0"/>
    <d v="2024-08-20T00:00:00"/>
    <x v="1"/>
    <x v="0"/>
    <x v="2"/>
    <s v="Yes"/>
    <x v="0"/>
    <s v="Yes"/>
    <n v="20"/>
    <n v="7"/>
    <n v="58"/>
  </r>
  <r>
    <n v="3408"/>
    <s v="Olívia Rios"/>
    <x v="2"/>
    <d v="2024-08-21T00:00:00"/>
    <x v="0"/>
    <x v="2"/>
    <x v="1"/>
    <s v="No"/>
    <x v="1"/>
    <s v="Yes"/>
    <n v="20"/>
    <n v="10"/>
    <n v="20"/>
  </r>
  <r>
    <n v="3409"/>
    <s v="Paulo Quintana"/>
    <x v="1"/>
    <d v="2024-08-22T00:00:00"/>
    <x v="1"/>
    <x v="1"/>
    <x v="2"/>
    <s v="No"/>
    <x v="1"/>
    <s v="No"/>
    <n v="0"/>
    <n v="1"/>
    <n v="4"/>
  </r>
  <r>
    <n v="3410"/>
    <s v="Raquel Domingos"/>
    <x v="0"/>
    <d v="2024-08-23T00:00:00"/>
    <x v="0"/>
    <x v="0"/>
    <x v="0"/>
    <s v="Yes"/>
    <x v="0"/>
    <s v="Yes"/>
    <n v="20"/>
    <n v="15"/>
    <n v="50"/>
  </r>
  <r>
    <n v="3411"/>
    <s v="Samuel Viana"/>
    <x v="2"/>
    <d v="2024-08-24T00:00:00"/>
    <x v="1"/>
    <x v="2"/>
    <x v="0"/>
    <s v="No"/>
    <x v="1"/>
    <s v="Yes"/>
    <n v="20"/>
    <n v="5"/>
    <n v="25"/>
  </r>
  <r>
    <n v="3412"/>
    <s v="Tatiane Rocha"/>
    <x v="1"/>
    <d v="2024-08-25T00:00:00"/>
    <x v="0"/>
    <x v="1"/>
    <x v="1"/>
    <s v="No"/>
    <x v="1"/>
    <s v="No"/>
    <n v="0"/>
    <n v="0"/>
    <n v="5"/>
  </r>
  <r>
    <n v="3413"/>
    <s v="Ulysses Farias"/>
    <x v="0"/>
    <d v="2024-08-26T00:00:00"/>
    <x v="1"/>
    <x v="0"/>
    <x v="2"/>
    <s v="Yes"/>
    <x v="0"/>
    <s v="Yes"/>
    <n v="20"/>
    <n v="20"/>
    <n v="45"/>
  </r>
  <r>
    <n v="3414"/>
    <s v="Vanessa Moreira"/>
    <x v="2"/>
    <d v="2024-08-27T00:00:00"/>
    <x v="0"/>
    <x v="2"/>
    <x v="2"/>
    <s v="No"/>
    <x v="1"/>
    <s v="Yes"/>
    <n v="20"/>
    <n v="12"/>
    <n v="18"/>
  </r>
  <r>
    <n v="3415"/>
    <s v="William Carvalho"/>
    <x v="1"/>
    <d v="2024-08-28T00:00:00"/>
    <x v="1"/>
    <x v="1"/>
    <x v="0"/>
    <s v="No"/>
    <x v="1"/>
    <s v="No"/>
    <n v="0"/>
    <n v="2"/>
    <n v="3"/>
  </r>
  <r>
    <n v="3416"/>
    <s v="Ximena Barros"/>
    <x v="0"/>
    <d v="2024-08-29T00:00:00"/>
    <x v="0"/>
    <x v="0"/>
    <x v="1"/>
    <s v="Yes"/>
    <x v="0"/>
    <s v="Yes"/>
    <n v="20"/>
    <n v="5"/>
    <n v="60"/>
  </r>
  <r>
    <n v="3417"/>
    <s v="Yara Machado"/>
    <x v="2"/>
    <d v="2024-08-30T00:00:00"/>
    <x v="1"/>
    <x v="2"/>
    <x v="0"/>
    <s v="No"/>
    <x v="1"/>
    <s v="Yes"/>
    <n v="20"/>
    <n v="10"/>
    <n v="20"/>
  </r>
  <r>
    <n v="3418"/>
    <s v="Zacarias Costa"/>
    <x v="1"/>
    <d v="2024-08-31T00:00:00"/>
    <x v="0"/>
    <x v="1"/>
    <x v="2"/>
    <s v="No"/>
    <x v="1"/>
    <s v="No"/>
    <n v="0"/>
    <n v="0"/>
    <n v="5"/>
  </r>
  <r>
    <n v="3419"/>
    <s v="André Lopes"/>
    <x v="0"/>
    <d v="2024-09-01T00:00:00"/>
    <x v="1"/>
    <x v="0"/>
    <x v="0"/>
    <s v="Yes"/>
    <x v="0"/>
    <s v="Yes"/>
    <n v="20"/>
    <n v="3"/>
    <n v="62"/>
  </r>
  <r>
    <n v="3420"/>
    <s v="Beatriz Souza"/>
    <x v="2"/>
    <d v="2024-09-02T00:00:00"/>
    <x v="0"/>
    <x v="2"/>
    <x v="1"/>
    <s v="No"/>
    <x v="1"/>
    <s v="Yes"/>
    <n v="20"/>
    <n v="15"/>
    <n v="15"/>
  </r>
  <r>
    <n v="3421"/>
    <s v="Caio Pereira"/>
    <x v="1"/>
    <d v="2024-09-03T00:00:00"/>
    <x v="1"/>
    <x v="1"/>
    <x v="0"/>
    <s v="No"/>
    <x v="1"/>
    <s v="No"/>
    <n v="0"/>
    <n v="1"/>
    <n v="4"/>
  </r>
  <r>
    <n v="3422"/>
    <s v="Daniela Araújo"/>
    <x v="0"/>
    <d v="2024-09-04T00:00:00"/>
    <x v="0"/>
    <x v="0"/>
    <x v="2"/>
    <s v="Yes"/>
    <x v="0"/>
    <s v="Yes"/>
    <n v="20"/>
    <n v="7"/>
    <n v="58"/>
  </r>
  <r>
    <n v="3423"/>
    <s v="Eduardo Santos"/>
    <x v="2"/>
    <d v="2024-09-05T00:00:00"/>
    <x v="1"/>
    <x v="2"/>
    <x v="0"/>
    <s v="No"/>
    <x v="1"/>
    <s v="Yes"/>
    <n v="20"/>
    <n v="10"/>
    <n v="20"/>
  </r>
  <r>
    <n v="3424"/>
    <s v="Fernanda Lima"/>
    <x v="1"/>
    <d v="2024-09-06T00:00:00"/>
    <x v="0"/>
    <x v="1"/>
    <x v="1"/>
    <s v="No"/>
    <x v="1"/>
    <s v="No"/>
    <n v="0"/>
    <n v="0"/>
    <n v="5"/>
  </r>
  <r>
    <n v="3425"/>
    <s v="Gabriel Teixeira"/>
    <x v="0"/>
    <d v="2024-09-07T00:00:00"/>
    <x v="1"/>
    <x v="0"/>
    <x v="0"/>
    <s v="Yes"/>
    <x v="0"/>
    <s v="Yes"/>
    <n v="20"/>
    <n v="20"/>
    <n v="45"/>
  </r>
  <r>
    <n v="3426"/>
    <s v="Helena Ribeiro"/>
    <x v="2"/>
    <d v="2024-09-08T00:00:00"/>
    <x v="0"/>
    <x v="2"/>
    <x v="2"/>
    <s v="No"/>
    <x v="1"/>
    <s v="Yes"/>
    <n v="20"/>
    <n v="15"/>
    <n v="15"/>
  </r>
  <r>
    <n v="3427"/>
    <s v="Igor Mendes"/>
    <x v="1"/>
    <d v="2024-09-09T00:00:00"/>
    <x v="1"/>
    <x v="1"/>
    <x v="0"/>
    <s v="No"/>
    <x v="1"/>
    <s v="No"/>
    <n v="0"/>
    <n v="1"/>
    <n v="4"/>
  </r>
  <r>
    <n v="3428"/>
    <s v="Joana Silveira"/>
    <x v="0"/>
    <d v="2024-09-10T00:00:00"/>
    <x v="0"/>
    <x v="0"/>
    <x v="1"/>
    <s v="Yes"/>
    <x v="0"/>
    <s v="Yes"/>
    <n v="20"/>
    <n v="3"/>
    <n v="62"/>
  </r>
  <r>
    <n v="3429"/>
    <s v="Lucas Martins"/>
    <x v="2"/>
    <d v="2024-09-11T00:00:00"/>
    <x v="1"/>
    <x v="2"/>
    <x v="0"/>
    <s v="No"/>
    <x v="1"/>
    <s v="Yes"/>
    <n v="20"/>
    <n v="10"/>
    <n v="20"/>
  </r>
  <r>
    <n v="3430"/>
    <s v="Marcela Gouveia"/>
    <x v="1"/>
    <d v="2024-09-12T00:00:00"/>
    <x v="0"/>
    <x v="1"/>
    <x v="2"/>
    <s v="No"/>
    <x v="1"/>
    <s v="No"/>
    <n v="0"/>
    <n v="0"/>
    <n v="5"/>
  </r>
  <r>
    <n v="3431"/>
    <s v="Nicolas Borges"/>
    <x v="0"/>
    <d v="2024-09-13T00:00:00"/>
    <x v="1"/>
    <x v="0"/>
    <x v="0"/>
    <s v="Yes"/>
    <x v="0"/>
    <s v="Yes"/>
    <n v="20"/>
    <n v="15"/>
    <n v="50"/>
  </r>
  <r>
    <n v="3432"/>
    <s v="Olivia Freitas"/>
    <x v="2"/>
    <d v="2024-09-14T00:00:00"/>
    <x v="0"/>
    <x v="2"/>
    <x v="1"/>
    <s v="No"/>
    <x v="1"/>
    <s v="Yes"/>
    <n v="20"/>
    <n v="15"/>
    <n v="15"/>
  </r>
  <r>
    <n v="3433"/>
    <s v="Paulo Nogueira"/>
    <x v="1"/>
    <d v="2024-09-15T00:00:00"/>
    <x v="1"/>
    <x v="1"/>
    <x v="0"/>
    <s v="No"/>
    <x v="1"/>
    <s v="No"/>
    <n v="0"/>
    <n v="1"/>
    <n v="4"/>
  </r>
  <r>
    <n v="3434"/>
    <s v="Raquel Andrade"/>
    <x v="0"/>
    <d v="2024-09-16T00:00:00"/>
    <x v="0"/>
    <x v="0"/>
    <x v="2"/>
    <s v="Yes"/>
    <x v="0"/>
    <s v="Yes"/>
    <n v="20"/>
    <n v="7"/>
    <n v="58"/>
  </r>
  <r>
    <n v="3435"/>
    <s v="Sônia Carvalho"/>
    <x v="2"/>
    <d v="2024-09-17T00:00:00"/>
    <x v="1"/>
    <x v="2"/>
    <x v="0"/>
    <s v="No"/>
    <x v="1"/>
    <s v="Yes"/>
    <n v="20"/>
    <n v="10"/>
    <n v="20"/>
  </r>
  <r>
    <n v="3436"/>
    <s v="Tiago Rodrigues"/>
    <x v="1"/>
    <d v="2024-09-18T00:00:00"/>
    <x v="0"/>
    <x v="1"/>
    <x v="0"/>
    <s v="No"/>
    <x v="1"/>
    <s v="No"/>
    <n v="0"/>
    <n v="0"/>
    <n v="5"/>
  </r>
  <r>
    <n v="3437"/>
    <s v="Ursula Monteiro"/>
    <x v="0"/>
    <d v="2024-09-19T00:00:00"/>
    <x v="1"/>
    <x v="0"/>
    <x v="2"/>
    <s v="Yes"/>
    <x v="0"/>
    <s v="Yes"/>
    <n v="20"/>
    <n v="7"/>
    <n v="58"/>
  </r>
  <r>
    <n v="3438"/>
    <s v="Vanessa Pereira"/>
    <x v="2"/>
    <d v="2024-09-20T00:00:00"/>
    <x v="0"/>
    <x v="2"/>
    <x v="1"/>
    <s v="No"/>
    <x v="1"/>
    <s v="Yes"/>
    <n v="20"/>
    <n v="10"/>
    <n v="20"/>
  </r>
  <r>
    <n v="3439"/>
    <s v="Walter Silva"/>
    <x v="1"/>
    <d v="2024-09-21T00:00:00"/>
    <x v="1"/>
    <x v="1"/>
    <x v="2"/>
    <s v="No"/>
    <x v="1"/>
    <s v="No"/>
    <n v="0"/>
    <n v="1"/>
    <n v="4"/>
  </r>
  <r>
    <n v="3440"/>
    <s v="Xavier Almeida"/>
    <x v="0"/>
    <d v="2024-09-22T00:00:00"/>
    <x v="0"/>
    <x v="0"/>
    <x v="0"/>
    <s v="Yes"/>
    <x v="0"/>
    <s v="Yes"/>
    <n v="20"/>
    <n v="15"/>
    <n v="50"/>
  </r>
  <r>
    <n v="3441"/>
    <s v="Yasmine Correia"/>
    <x v="2"/>
    <d v="2024-09-23T00:00:00"/>
    <x v="1"/>
    <x v="2"/>
    <x v="0"/>
    <s v="No"/>
    <x v="1"/>
    <s v="Yes"/>
    <n v="20"/>
    <n v="5"/>
    <n v="25"/>
  </r>
  <r>
    <n v="3442"/>
    <s v="Zacarias Almeida"/>
    <x v="1"/>
    <d v="2024-09-24T00:00:00"/>
    <x v="0"/>
    <x v="1"/>
    <x v="1"/>
    <s v="No"/>
    <x v="1"/>
    <s v="No"/>
    <n v="0"/>
    <n v="0"/>
    <n v="5"/>
  </r>
  <r>
    <n v="3443"/>
    <s v="Amanda Costa"/>
    <x v="0"/>
    <d v="2024-09-25T00:00:00"/>
    <x v="1"/>
    <x v="0"/>
    <x v="2"/>
    <s v="Yes"/>
    <x v="0"/>
    <s v="Yes"/>
    <n v="20"/>
    <n v="20"/>
    <n v="45"/>
  </r>
  <r>
    <n v="3444"/>
    <s v="Bruno Ferreira"/>
    <x v="2"/>
    <d v="2024-09-26T00:00:00"/>
    <x v="0"/>
    <x v="2"/>
    <x v="2"/>
    <s v="No"/>
    <x v="1"/>
    <s v="Yes"/>
    <n v="20"/>
    <n v="12"/>
    <n v="18"/>
  </r>
  <r>
    <n v="3445"/>
    <s v="Carla Dias"/>
    <x v="1"/>
    <d v="2024-09-27T00:00:00"/>
    <x v="1"/>
    <x v="1"/>
    <x v="0"/>
    <s v="No"/>
    <x v="1"/>
    <s v="No"/>
    <n v="0"/>
    <n v="2"/>
    <n v="3"/>
  </r>
  <r>
    <n v="3446"/>
    <s v="Diogo Martins"/>
    <x v="0"/>
    <d v="2024-09-28T00:00:00"/>
    <x v="0"/>
    <x v="0"/>
    <x v="1"/>
    <s v="Yes"/>
    <x v="0"/>
    <s v="Yes"/>
    <n v="20"/>
    <n v="5"/>
    <n v="60"/>
  </r>
  <r>
    <n v="3447"/>
    <s v="Elisa Campos"/>
    <x v="2"/>
    <d v="2024-09-29T00:00:00"/>
    <x v="1"/>
    <x v="2"/>
    <x v="0"/>
    <s v="No"/>
    <x v="1"/>
    <s v="Yes"/>
    <n v="20"/>
    <n v="10"/>
    <n v="20"/>
  </r>
  <r>
    <n v="3448"/>
    <s v="Fabiana Lima"/>
    <x v="1"/>
    <d v="2024-09-30T00:00:00"/>
    <x v="0"/>
    <x v="1"/>
    <x v="2"/>
    <s v="No"/>
    <x v="1"/>
    <s v="No"/>
    <n v="0"/>
    <n v="0"/>
    <n v="5"/>
  </r>
  <r>
    <n v="3449"/>
    <s v="Gabriel Santos"/>
    <x v="0"/>
    <d v="2024-10-01T00:00:00"/>
    <x v="1"/>
    <x v="0"/>
    <x v="0"/>
    <s v="Yes"/>
    <x v="0"/>
    <s v="Yes"/>
    <n v="20"/>
    <n v="3"/>
    <n v="62"/>
  </r>
  <r>
    <n v="3450"/>
    <s v="Helena Ferreira"/>
    <x v="2"/>
    <d v="2024-10-02T00:00:00"/>
    <x v="0"/>
    <x v="2"/>
    <x v="1"/>
    <s v="No"/>
    <x v="1"/>
    <s v="Yes"/>
    <n v="20"/>
    <n v="15"/>
    <n v="15"/>
  </r>
  <r>
    <n v="3451"/>
    <s v="Ígor Nunes"/>
    <x v="1"/>
    <d v="2024-10-03T00:00:00"/>
    <x v="1"/>
    <x v="1"/>
    <x v="0"/>
    <s v="No"/>
    <x v="1"/>
    <s v="No"/>
    <n v="0"/>
    <n v="1"/>
    <n v="4"/>
  </r>
  <r>
    <n v="3452"/>
    <s v="Joana Silveira"/>
    <x v="0"/>
    <d v="2024-10-04T00:00:00"/>
    <x v="0"/>
    <x v="0"/>
    <x v="2"/>
    <s v="Yes"/>
    <x v="0"/>
    <s v="Yes"/>
    <n v="20"/>
    <n v="7"/>
    <n v="58"/>
  </r>
  <r>
    <n v="3453"/>
    <s v="Kléber Oliveira"/>
    <x v="2"/>
    <d v="2024-10-05T00:00:00"/>
    <x v="1"/>
    <x v="2"/>
    <x v="0"/>
    <s v="No"/>
    <x v="1"/>
    <s v="Yes"/>
    <n v="20"/>
    <n v="10"/>
    <n v="20"/>
  </r>
  <r>
    <n v="3454"/>
    <s v="Luciana Morais"/>
    <x v="1"/>
    <d v="2024-10-06T00:00:00"/>
    <x v="0"/>
    <x v="1"/>
    <x v="1"/>
    <s v="No"/>
    <x v="1"/>
    <s v="No"/>
    <n v="0"/>
    <n v="0"/>
    <n v="5"/>
  </r>
  <r>
    <n v="3455"/>
    <s v="Marcos Vinícius"/>
    <x v="0"/>
    <d v="2024-10-07T00:00:00"/>
    <x v="1"/>
    <x v="0"/>
    <x v="0"/>
    <s v="Yes"/>
    <x v="0"/>
    <s v="Yes"/>
    <n v="20"/>
    <n v="20"/>
    <n v="45"/>
  </r>
  <r>
    <n v="3456"/>
    <s v="Natália Barros"/>
    <x v="2"/>
    <d v="2024-10-08T00:00:00"/>
    <x v="0"/>
    <x v="2"/>
    <x v="2"/>
    <s v="No"/>
    <x v="1"/>
    <s v="Yes"/>
    <n v="20"/>
    <n v="15"/>
    <n v="15"/>
  </r>
  <r>
    <n v="3457"/>
    <s v="Oscar Sampaio"/>
    <x v="1"/>
    <d v="2024-10-09T00:00:00"/>
    <x v="1"/>
    <x v="1"/>
    <x v="0"/>
    <s v="No"/>
    <x v="1"/>
    <s v="No"/>
    <n v="0"/>
    <n v="1"/>
    <n v="4"/>
  </r>
  <r>
    <n v="3458"/>
    <s v="Patrícia Leite"/>
    <x v="0"/>
    <d v="2024-10-10T00:00:00"/>
    <x v="0"/>
    <x v="0"/>
    <x v="1"/>
    <s v="Yes"/>
    <x v="0"/>
    <s v="Yes"/>
    <n v="20"/>
    <n v="3"/>
    <n v="62"/>
  </r>
  <r>
    <n v="3459"/>
    <s v="Quênia Rocha"/>
    <x v="2"/>
    <d v="2024-10-11T00:00:00"/>
    <x v="1"/>
    <x v="2"/>
    <x v="0"/>
    <s v="No"/>
    <x v="1"/>
    <s v="Yes"/>
    <n v="20"/>
    <n v="10"/>
    <n v="20"/>
  </r>
  <r>
    <n v="3460"/>
    <s v="Rafael Torres"/>
    <x v="1"/>
    <d v="2024-10-12T00:00:00"/>
    <x v="0"/>
    <x v="1"/>
    <x v="2"/>
    <s v="No"/>
    <x v="1"/>
    <s v="No"/>
    <n v="0"/>
    <n v="0"/>
    <n v="5"/>
  </r>
  <r>
    <n v="3461"/>
    <s v="Sandra Gouveia"/>
    <x v="0"/>
    <d v="2024-10-13T00:00:00"/>
    <x v="1"/>
    <x v="0"/>
    <x v="0"/>
    <s v="Yes"/>
    <x v="0"/>
    <s v="Yes"/>
    <n v="20"/>
    <n v="15"/>
    <n v="50"/>
  </r>
  <r>
    <n v="3462"/>
    <s v="Tiago Lacerda"/>
    <x v="2"/>
    <d v="2024-10-14T00:00:00"/>
    <x v="0"/>
    <x v="2"/>
    <x v="1"/>
    <s v="No"/>
    <x v="1"/>
    <s v="Yes"/>
    <n v="20"/>
    <n v="15"/>
    <n v="15"/>
  </r>
  <r>
    <n v="3463"/>
    <s v="Ursula Fonseca"/>
    <x v="1"/>
    <d v="2024-10-15T00:00:00"/>
    <x v="1"/>
    <x v="1"/>
    <x v="0"/>
    <s v="No"/>
    <x v="1"/>
    <s v="No"/>
    <n v="0"/>
    <n v="1"/>
    <n v="4"/>
  </r>
  <r>
    <n v="3464"/>
    <s v="Vanessa Andrade"/>
    <x v="0"/>
    <d v="2024-10-16T00:00:00"/>
    <x v="0"/>
    <x v="0"/>
    <x v="2"/>
    <s v="Yes"/>
    <x v="0"/>
    <s v="Yes"/>
    <n v="20"/>
    <n v="7"/>
    <n v="58"/>
  </r>
  <r>
    <n v="3465"/>
    <s v="William Castro"/>
    <x v="2"/>
    <d v="2024-10-17T00:00:00"/>
    <x v="1"/>
    <x v="2"/>
    <x v="0"/>
    <s v="No"/>
    <x v="1"/>
    <s v="Yes"/>
    <n v="20"/>
    <n v="10"/>
    <n v="20"/>
  </r>
  <r>
    <n v="3466"/>
    <s v="Xavier Monteiro"/>
    <x v="1"/>
    <d v="2024-10-18T00:00:00"/>
    <x v="0"/>
    <x v="1"/>
    <x v="1"/>
    <s v="No"/>
    <x v="1"/>
    <s v="No"/>
    <n v="0"/>
    <n v="0"/>
    <n v="5"/>
  </r>
  <r>
    <n v="3467"/>
    <s v="Yasmin Figueira"/>
    <x v="0"/>
    <d v="2024-10-19T00:00:00"/>
    <x v="1"/>
    <x v="0"/>
    <x v="0"/>
    <s v="Yes"/>
    <x v="0"/>
    <s v="Yes"/>
    <n v="20"/>
    <n v="15"/>
    <n v="50"/>
  </r>
  <r>
    <n v="3468"/>
    <s v="Zacarias Mendonça"/>
    <x v="2"/>
    <d v="2024-10-20T00:00:00"/>
    <x v="0"/>
    <x v="2"/>
    <x v="2"/>
    <s v="No"/>
    <x v="1"/>
    <s v="Yes"/>
    <n v="20"/>
    <n v="12"/>
    <n v="18"/>
  </r>
  <r>
    <n v="3469"/>
    <s v="Amanda Menezes"/>
    <x v="1"/>
    <d v="2024-10-21T00:00:00"/>
    <x v="1"/>
    <x v="1"/>
    <x v="0"/>
    <s v="No"/>
    <x v="1"/>
    <s v="No"/>
    <n v="0"/>
    <n v="2"/>
    <n v="3"/>
  </r>
  <r>
    <n v="3470"/>
    <s v="Bruno Santos"/>
    <x v="0"/>
    <d v="2024-10-22T00:00:00"/>
    <x v="0"/>
    <x v="0"/>
    <x v="1"/>
    <s v="Yes"/>
    <x v="0"/>
    <s v="Yes"/>
    <n v="20"/>
    <n v="5"/>
    <n v="60"/>
  </r>
  <r>
    <n v="3471"/>
    <s v="Carla Ferreira"/>
    <x v="2"/>
    <d v="2024-10-23T00:00:00"/>
    <x v="1"/>
    <x v="2"/>
    <x v="0"/>
    <s v="No"/>
    <x v="1"/>
    <s v="Yes"/>
    <n v="20"/>
    <n v="10"/>
    <n v="20"/>
  </r>
  <r>
    <n v="3472"/>
    <s v="Diogo Alves"/>
    <x v="1"/>
    <d v="2024-10-24T00:00:00"/>
    <x v="0"/>
    <x v="1"/>
    <x v="2"/>
    <s v="No"/>
    <x v="1"/>
    <s v="No"/>
    <n v="0"/>
    <n v="0"/>
    <n v="5"/>
  </r>
  <r>
    <n v="3473"/>
    <s v="Elisa Neves"/>
    <x v="0"/>
    <d v="2024-10-25T00:00:00"/>
    <x v="1"/>
    <x v="0"/>
    <x v="0"/>
    <s v="Yes"/>
    <x v="0"/>
    <s v="Yes"/>
    <n v="20"/>
    <n v="3"/>
    <n v="62"/>
  </r>
  <r>
    <n v="3474"/>
    <s v="Fabiano Pires"/>
    <x v="2"/>
    <d v="2024-10-26T00:00:00"/>
    <x v="0"/>
    <x v="2"/>
    <x v="1"/>
    <s v="No"/>
    <x v="1"/>
    <s v="Yes"/>
    <n v="20"/>
    <n v="15"/>
    <n v="15"/>
  </r>
  <r>
    <n v="3475"/>
    <s v="Giovana Ribeiro"/>
    <x v="1"/>
    <d v="2024-10-27T00:00:00"/>
    <x v="1"/>
    <x v="1"/>
    <x v="0"/>
    <s v="No"/>
    <x v="1"/>
    <s v="No"/>
    <n v="0"/>
    <n v="1"/>
    <n v="4"/>
  </r>
  <r>
    <n v="3476"/>
    <s v="Hélio Costa"/>
    <x v="0"/>
    <d v="2024-10-28T00:00:00"/>
    <x v="0"/>
    <x v="0"/>
    <x v="2"/>
    <s v="Yes"/>
    <x v="0"/>
    <s v="Yes"/>
    <n v="20"/>
    <n v="7"/>
    <n v="58"/>
  </r>
  <r>
    <n v="3477"/>
    <s v="Íris Loureiro"/>
    <x v="2"/>
    <d v="2024-10-29T00:00:00"/>
    <x v="1"/>
    <x v="2"/>
    <x v="0"/>
    <s v="No"/>
    <x v="1"/>
    <s v="Yes"/>
    <n v="20"/>
    <n v="10"/>
    <n v="20"/>
  </r>
  <r>
    <n v="3478"/>
    <s v="João Pereira"/>
    <x v="1"/>
    <d v="2024-10-30T00:00:00"/>
    <x v="0"/>
    <x v="1"/>
    <x v="1"/>
    <s v="No"/>
    <x v="1"/>
    <s v="No"/>
    <n v="0"/>
    <n v="0"/>
    <n v="5"/>
  </r>
  <r>
    <n v="3479"/>
    <s v="Klara Silva"/>
    <x v="0"/>
    <d v="2024-10-31T00:00:00"/>
    <x v="1"/>
    <x v="0"/>
    <x v="0"/>
    <s v="Yes"/>
    <x v="0"/>
    <s v="Yes"/>
    <n v="20"/>
    <n v="20"/>
    <n v="45"/>
  </r>
  <r>
    <n v="3480"/>
    <s v="Luciana Barros"/>
    <x v="2"/>
    <d v="2024-11-01T00:00:00"/>
    <x v="0"/>
    <x v="2"/>
    <x v="2"/>
    <s v="No"/>
    <x v="1"/>
    <s v="Yes"/>
    <n v="20"/>
    <n v="15"/>
    <n v="15"/>
  </r>
  <r>
    <n v="3481"/>
    <s v="Marcos Gomes"/>
    <x v="1"/>
    <d v="2024-11-02T00:00:00"/>
    <x v="1"/>
    <x v="1"/>
    <x v="0"/>
    <s v="No"/>
    <x v="1"/>
    <s v="No"/>
    <n v="0"/>
    <n v="1"/>
    <n v="4"/>
  </r>
  <r>
    <n v="3482"/>
    <s v="Natália Soares"/>
    <x v="0"/>
    <d v="2024-11-03T00:00:00"/>
    <x v="0"/>
    <x v="0"/>
    <x v="1"/>
    <s v="Yes"/>
    <x v="0"/>
    <s v="Yes"/>
    <n v="20"/>
    <n v="3"/>
    <n v="62"/>
  </r>
  <r>
    <n v="3483"/>
    <s v="Oscar Machado"/>
    <x v="2"/>
    <d v="2024-11-04T00:00:00"/>
    <x v="1"/>
    <x v="2"/>
    <x v="0"/>
    <s v="No"/>
    <x v="1"/>
    <s v="Yes"/>
    <n v="20"/>
    <n v="10"/>
    <n v="20"/>
  </r>
  <r>
    <n v="3484"/>
    <s v="Patrícia Lima"/>
    <x v="1"/>
    <d v="2024-11-05T00:00:00"/>
    <x v="0"/>
    <x v="1"/>
    <x v="2"/>
    <s v="No"/>
    <x v="1"/>
    <s v="No"/>
    <n v="0"/>
    <n v="0"/>
    <n v="5"/>
  </r>
  <r>
    <n v="3485"/>
    <s v="Quirino Neto"/>
    <x v="0"/>
    <d v="2024-11-06T00:00:00"/>
    <x v="1"/>
    <x v="0"/>
    <x v="0"/>
    <s v="Yes"/>
    <x v="0"/>
    <s v="Yes"/>
    <n v="20"/>
    <n v="15"/>
    <n v="50"/>
  </r>
  <r>
    <n v="3486"/>
    <s v="Rafaela Souza"/>
    <x v="1"/>
    <d v="2024-11-07T00:00:00"/>
    <x v="0"/>
    <x v="1"/>
    <x v="0"/>
    <s v="No"/>
    <x v="1"/>
    <s v="No"/>
    <n v="0"/>
    <n v="0"/>
    <n v="5"/>
  </r>
  <r>
    <n v="3487"/>
    <s v="Sandro Almeida"/>
    <x v="0"/>
    <d v="2024-11-08T00:00:00"/>
    <x v="1"/>
    <x v="0"/>
    <x v="2"/>
    <s v="Yes"/>
    <x v="0"/>
    <s v="Yes"/>
    <n v="20"/>
    <n v="7"/>
    <n v="58"/>
  </r>
  <r>
    <n v="3488"/>
    <s v="Tânia Ribeiro"/>
    <x v="2"/>
    <d v="2024-11-09T00:00:00"/>
    <x v="0"/>
    <x v="2"/>
    <x v="1"/>
    <s v="No"/>
    <x v="1"/>
    <s v="Yes"/>
    <n v="20"/>
    <n v="10"/>
    <n v="20"/>
  </r>
  <r>
    <n v="3489"/>
    <s v="Ugo Dias"/>
    <x v="1"/>
    <d v="2024-11-10T00:00:00"/>
    <x v="1"/>
    <x v="1"/>
    <x v="2"/>
    <s v="No"/>
    <x v="1"/>
    <s v="No"/>
    <n v="0"/>
    <n v="1"/>
    <n v="4"/>
  </r>
  <r>
    <n v="3490"/>
    <s v="Valéria Lima"/>
    <x v="0"/>
    <d v="2024-11-11T00:00:00"/>
    <x v="0"/>
    <x v="0"/>
    <x v="0"/>
    <s v="Yes"/>
    <x v="0"/>
    <s v="Yes"/>
    <n v="20"/>
    <n v="15"/>
    <n v="50"/>
  </r>
  <r>
    <n v="3491"/>
    <s v="William Fernandes"/>
    <x v="2"/>
    <d v="2024-11-12T00:00:00"/>
    <x v="1"/>
    <x v="2"/>
    <x v="0"/>
    <s v="No"/>
    <x v="1"/>
    <s v="Yes"/>
    <n v="20"/>
    <n v="5"/>
    <n v="25"/>
  </r>
  <r>
    <n v="3492"/>
    <s v="Xuxa Mendes"/>
    <x v="1"/>
    <d v="2024-11-13T00:00:00"/>
    <x v="0"/>
    <x v="1"/>
    <x v="1"/>
    <s v="No"/>
    <x v="1"/>
    <s v="No"/>
    <n v="0"/>
    <n v="0"/>
    <n v="5"/>
  </r>
  <r>
    <n v="3493"/>
    <s v="Ygor Farias"/>
    <x v="0"/>
    <d v="2024-11-14T00:00:00"/>
    <x v="1"/>
    <x v="0"/>
    <x v="2"/>
    <s v="Yes"/>
    <x v="0"/>
    <s v="Yes"/>
    <n v="20"/>
    <n v="20"/>
    <n v="45"/>
  </r>
  <r>
    <n v="3494"/>
    <s v="Zilda Barros"/>
    <x v="2"/>
    <d v="2024-11-15T00:00:00"/>
    <x v="0"/>
    <x v="2"/>
    <x v="2"/>
    <s v="No"/>
    <x v="1"/>
    <s v="Yes"/>
    <n v="20"/>
    <n v="12"/>
    <n v="18"/>
  </r>
  <r>
    <n v="3495"/>
    <s v="Amanda Santos"/>
    <x v="1"/>
    <d v="2024-11-16T00:00:00"/>
    <x v="1"/>
    <x v="1"/>
    <x v="0"/>
    <s v="No"/>
    <x v="1"/>
    <s v="No"/>
    <n v="0"/>
    <n v="2"/>
    <n v="3"/>
  </r>
  <r>
    <n v="3496"/>
    <s v="Bruno Costa"/>
    <x v="0"/>
    <d v="2024-11-17T00:00:00"/>
    <x v="0"/>
    <x v="0"/>
    <x v="1"/>
    <s v="Yes"/>
    <x v="0"/>
    <s v="Yes"/>
    <n v="20"/>
    <n v="5"/>
    <n v="60"/>
  </r>
  <r>
    <n v="3497"/>
    <s v="Carla Rodrigues"/>
    <x v="2"/>
    <d v="2024-11-18T00:00:00"/>
    <x v="1"/>
    <x v="2"/>
    <x v="0"/>
    <s v="No"/>
    <x v="1"/>
    <s v="Yes"/>
    <n v="20"/>
    <n v="10"/>
    <n v="20"/>
  </r>
  <r>
    <n v="3498"/>
    <s v="Diogo Pereira"/>
    <x v="1"/>
    <d v="2024-11-19T00:00:00"/>
    <x v="0"/>
    <x v="1"/>
    <x v="2"/>
    <s v="No"/>
    <x v="1"/>
    <s v="No"/>
    <n v="0"/>
    <n v="0"/>
    <n v="5"/>
  </r>
  <r>
    <n v="3499"/>
    <s v="Elisa Correia"/>
    <x v="0"/>
    <d v="2024-11-20T00:00:00"/>
    <x v="1"/>
    <x v="0"/>
    <x v="0"/>
    <s v="Yes"/>
    <x v="0"/>
    <s v="Yes"/>
    <n v="20"/>
    <n v="3"/>
    <n v="62"/>
  </r>
  <r>
    <n v="3500"/>
    <s v="Fábio Lourenço"/>
    <x v="2"/>
    <d v="2024-11-21T00:00:00"/>
    <x v="0"/>
    <x v="2"/>
    <x v="1"/>
    <s v="No"/>
    <x v="1"/>
    <s v="Yes"/>
    <n v="20"/>
    <n v="15"/>
    <n v="15"/>
  </r>
  <r>
    <n v="3501"/>
    <s v="Gabriela Neves"/>
    <x v="1"/>
    <d v="2024-11-22T00:00:00"/>
    <x v="1"/>
    <x v="1"/>
    <x v="0"/>
    <s v="No"/>
    <x v="1"/>
    <s v="No"/>
    <n v="0"/>
    <n v="1"/>
    <n v="4"/>
  </r>
  <r>
    <n v="3502"/>
    <s v="Henrique Gonçalves"/>
    <x v="0"/>
    <d v="2024-11-23T00:00:00"/>
    <x v="0"/>
    <x v="0"/>
    <x v="2"/>
    <s v="Yes"/>
    <x v="0"/>
    <s v="Yes"/>
    <n v="20"/>
    <n v="7"/>
    <n v="58"/>
  </r>
  <r>
    <n v="3503"/>
    <s v="Íris Santos"/>
    <x v="2"/>
    <d v="2024-11-24T00:00:00"/>
    <x v="1"/>
    <x v="2"/>
    <x v="0"/>
    <s v="No"/>
    <x v="1"/>
    <s v="Yes"/>
    <n v="20"/>
    <n v="10"/>
    <n v="20"/>
  </r>
  <r>
    <n v="3504"/>
    <s v="João Marcelo Alves"/>
    <x v="1"/>
    <d v="2024-11-25T00:00:00"/>
    <x v="0"/>
    <x v="1"/>
    <x v="1"/>
    <s v="No"/>
    <x v="1"/>
    <s v="No"/>
    <n v="0"/>
    <n v="0"/>
    <n v="5"/>
  </r>
  <r>
    <n v="3505"/>
    <s v="Klara Fonseca"/>
    <x v="0"/>
    <d v="2024-11-26T00:00:00"/>
    <x v="1"/>
    <x v="0"/>
    <x v="0"/>
    <s v="Yes"/>
    <x v="0"/>
    <s v="Yes"/>
    <n v="20"/>
    <n v="20"/>
    <n v="45"/>
  </r>
  <r>
    <n v="3506"/>
    <s v="Lucas Mendonça"/>
    <x v="2"/>
    <d v="2024-11-27T00:00:00"/>
    <x v="0"/>
    <x v="2"/>
    <x v="2"/>
    <s v="No"/>
    <x v="1"/>
    <s v="Yes"/>
    <n v="20"/>
    <n v="15"/>
    <n v="15"/>
  </r>
  <r>
    <n v="3507"/>
    <s v="Marcela Torres"/>
    <x v="1"/>
    <d v="2024-11-28T00:00:00"/>
    <x v="1"/>
    <x v="1"/>
    <x v="0"/>
    <s v="No"/>
    <x v="1"/>
    <s v="No"/>
    <n v="0"/>
    <n v="1"/>
    <n v="4"/>
  </r>
  <r>
    <n v="3508"/>
    <s v="Natália Castro"/>
    <x v="0"/>
    <d v="2024-11-29T00:00:00"/>
    <x v="0"/>
    <x v="0"/>
    <x v="1"/>
    <s v="Yes"/>
    <x v="0"/>
    <s v="Yes"/>
    <n v="20"/>
    <n v="3"/>
    <n v="62"/>
  </r>
  <r>
    <n v="3509"/>
    <s v="Oscar Martins"/>
    <x v="2"/>
    <d v="2024-11-30T00:00:00"/>
    <x v="1"/>
    <x v="2"/>
    <x v="0"/>
    <s v="No"/>
    <x v="1"/>
    <s v="Yes"/>
    <n v="20"/>
    <n v="10"/>
    <n v="20"/>
  </r>
  <r>
    <n v="3510"/>
    <s v="Patrícia Oliveira"/>
    <x v="1"/>
    <d v="2024-12-01T00:00:00"/>
    <x v="0"/>
    <x v="1"/>
    <x v="2"/>
    <s v="No"/>
    <x v="1"/>
    <s v="No"/>
    <n v="0"/>
    <n v="0"/>
    <n v="5"/>
  </r>
  <r>
    <n v="3511"/>
    <s v="Quentin Nogueira"/>
    <x v="0"/>
    <d v="2024-12-02T00:00:00"/>
    <x v="1"/>
    <x v="0"/>
    <x v="0"/>
    <s v="Yes"/>
    <x v="0"/>
    <s v="Yes"/>
    <n v="20"/>
    <n v="15"/>
    <n v="50"/>
  </r>
  <r>
    <n v="3512"/>
    <s v="Raquel Silva"/>
    <x v="2"/>
    <d v="2024-12-03T00:00:00"/>
    <x v="0"/>
    <x v="2"/>
    <x v="1"/>
    <s v="No"/>
    <x v="1"/>
    <s v="Yes"/>
    <n v="20"/>
    <n v="15"/>
    <n v="15"/>
  </r>
  <r>
    <n v="3513"/>
    <s v="Sandro Gomes"/>
    <x v="1"/>
    <d v="2024-12-04T00:00:00"/>
    <x v="1"/>
    <x v="1"/>
    <x v="0"/>
    <s v="No"/>
    <x v="1"/>
    <s v="No"/>
    <n v="0"/>
    <n v="1"/>
    <n v="4"/>
  </r>
  <r>
    <n v="3514"/>
    <s v="Tânia Machado"/>
    <x v="0"/>
    <d v="2024-12-05T00:00:00"/>
    <x v="0"/>
    <x v="0"/>
    <x v="2"/>
    <s v="Yes"/>
    <x v="0"/>
    <s v="Yes"/>
    <n v="20"/>
    <n v="7"/>
    <n v="58"/>
  </r>
  <r>
    <n v="3515"/>
    <s v="Ursula Silva"/>
    <x v="2"/>
    <d v="2024-12-06T00:00:00"/>
    <x v="1"/>
    <x v="2"/>
    <x v="0"/>
    <s v="No"/>
    <x v="1"/>
    <s v="Yes"/>
    <n v="20"/>
    <n v="10"/>
    <n v="20"/>
  </r>
  <r>
    <n v="3516"/>
    <s v="Vanessa Moraes"/>
    <x v="1"/>
    <d v="2024-12-07T00:00:00"/>
    <x v="0"/>
    <x v="1"/>
    <x v="1"/>
    <s v="No"/>
    <x v="1"/>
    <s v="No"/>
    <n v="0"/>
    <n v="0"/>
    <n v="5"/>
  </r>
  <r>
    <n v="3517"/>
    <s v="William Carvalho"/>
    <x v="0"/>
    <d v="2024-12-08T00:00:00"/>
    <x v="1"/>
    <x v="0"/>
    <x v="0"/>
    <s v="Yes"/>
    <x v="0"/>
    <s v="Yes"/>
    <n v="20"/>
    <n v="20"/>
    <n v="45"/>
  </r>
  <r>
    <n v="3518"/>
    <s v="Xavier Reis"/>
    <x v="2"/>
    <d v="2024-12-09T00:00:00"/>
    <x v="0"/>
    <x v="2"/>
    <x v="2"/>
    <s v="No"/>
    <x v="1"/>
    <s v="Yes"/>
    <n v="20"/>
    <n v="12"/>
    <n v="18"/>
  </r>
  <r>
    <n v="3519"/>
    <s v="Yasmin Rocha"/>
    <x v="1"/>
    <d v="2024-12-10T00:00:00"/>
    <x v="1"/>
    <x v="1"/>
    <x v="0"/>
    <s v="No"/>
    <x v="1"/>
    <s v="No"/>
    <n v="0"/>
    <n v="2"/>
    <n v="3"/>
  </r>
  <r>
    <n v="3520"/>
    <s v="Zacarias Duarte"/>
    <x v="0"/>
    <d v="2024-12-11T00:00:00"/>
    <x v="0"/>
    <x v="0"/>
    <x v="1"/>
    <s v="Yes"/>
    <x v="0"/>
    <s v="Yes"/>
    <n v="20"/>
    <n v="5"/>
    <n v="60"/>
  </r>
  <r>
    <n v="3521"/>
    <s v="Amanda Freitas"/>
    <x v="2"/>
    <d v="2024-12-12T00:00:00"/>
    <x v="1"/>
    <x v="2"/>
    <x v="0"/>
    <s v="No"/>
    <x v="1"/>
    <s v="Yes"/>
    <n v="20"/>
    <n v="10"/>
    <n v="20"/>
  </r>
  <r>
    <n v="3522"/>
    <s v="Bruno Almeida"/>
    <x v="1"/>
    <d v="2024-12-13T00:00:00"/>
    <x v="0"/>
    <x v="1"/>
    <x v="2"/>
    <s v="No"/>
    <x v="1"/>
    <s v="No"/>
    <n v="0"/>
    <n v="0"/>
    <n v="5"/>
  </r>
  <r>
    <n v="3523"/>
    <s v="Carla Siqueira"/>
    <x v="0"/>
    <d v="2024-12-14T00:00:00"/>
    <x v="1"/>
    <x v="0"/>
    <x v="0"/>
    <s v="Yes"/>
    <x v="0"/>
    <s v="Yes"/>
    <n v="20"/>
    <n v="3"/>
    <n v="62"/>
  </r>
  <r>
    <n v="3524"/>
    <s v="Diogo Ramos"/>
    <x v="2"/>
    <d v="2024-12-15T00:00:00"/>
    <x v="0"/>
    <x v="2"/>
    <x v="1"/>
    <s v="No"/>
    <x v="1"/>
    <s v="Yes"/>
    <n v="20"/>
    <n v="15"/>
    <n v="15"/>
  </r>
  <r>
    <n v="3525"/>
    <s v="Elisa Magalhães"/>
    <x v="1"/>
    <d v="2024-12-16T00:00:00"/>
    <x v="1"/>
    <x v="1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2CFCD-7120-457C-841D-5ECC04D66139}" name="Tabela dinâmica4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9:C3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/>
  </dataFields>
  <formats count="2">
    <format dxfId="42">
      <pivotArea collapsedLevelsAreSubtotals="1" fieldPosition="0">
        <references count="1">
          <reference field="6" count="0"/>
        </references>
      </pivotArea>
    </format>
    <format dxfId="4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58E9C-8BEE-4F56-A008-03D4FAA7E80F}" name="tbl_easeason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9:C2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formats count="2">
    <format dxfId="44">
      <pivotArea collapsedLevelsAreSubtotals="1" fieldPosition="0">
        <references count="1">
          <reference field="6" count="0"/>
        </references>
      </pivotArea>
    </format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8198B-02B1-4C09-9915-D72074267CE2}" name="tbl_a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0:C13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165"/>
  </dataFields>
  <formats count="2">
    <format dxfId="49">
      <pivotArea collapsedLevelsAreSubtotals="1" fieldPosition="0">
        <references count="1">
          <reference field="6" count="0"/>
        </references>
      </pivotArea>
    </format>
    <format dxfId="48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5DC1C91-6251-474D-A6D3-A033F0A1BFBC}" sourceName="Subscription Type">
  <pivotTables>
    <pivotTable tabId="3" name="tbl_anual_total"/>
    <pivotTable tabId="3" name="tbl_easeason_total"/>
    <pivotTable tabId="3" name="Tabela dinâmica4"/>
  </pivotTables>
  <data>
    <tabular pivotCacheId="1654648442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974B35E-E55F-4F7A-AA83-5EFEAC952855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6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62"/>
    <tableColumn id="2" xr3:uid="{53DD39D0-2220-4121-9E9D-4EAA7E151C0F}" name="Name" dataDxfId="61"/>
    <tableColumn id="3" xr3:uid="{4F5FF271-4C57-4BE0-8F2C-F82C8551625C}" name="Plan" dataDxfId="60"/>
    <tableColumn id="4" xr3:uid="{8C17EB93-79B9-4E55-B8F7-BEB82F8253E9}" name="Start Date" dataDxfId="59"/>
    <tableColumn id="5" xr3:uid="{48CEDF9B-1689-482A-A828-5CCE7713264A}" name="Auto Renewal" dataDxfId="58"/>
    <tableColumn id="6" xr3:uid="{78B82374-9AA7-4E38-AE4F-78CDE6C83720}" name="Subscription Price" dataDxfId="57" dataCellStyle="Moeda"/>
    <tableColumn id="7" xr3:uid="{F2433F68-AF33-49D0-B1FB-19A396074EDE}" name="Subscription Type" dataDxfId="56"/>
    <tableColumn id="8" xr3:uid="{FD4D9C95-F6E5-4933-9068-A71FF7DF9343}" name="EA Play Season Pass" dataDxfId="55"/>
    <tableColumn id="13" xr3:uid="{978DD0D2-834E-4CE4-A39B-30976086932F}" name="EA Play Season Pass_x000a_Price" dataDxfId="54" dataCellStyle="Moeda"/>
    <tableColumn id="9" xr3:uid="{6E29F111-C395-4580-9DAD-3407D9E8B1A4}" name="Minecraft Season Pass" dataDxfId="53"/>
    <tableColumn id="10" xr3:uid="{EF544EAA-7F25-4FD5-A10E-8E62804DB9E3}" name="Minecraft Season Pass Price" dataDxfId="52" dataCellStyle="Moeda"/>
    <tableColumn id="11" xr3:uid="{7F6EB64A-1F07-4E48-9F0F-AC7D9DCD26F8}" name="Coupon Value" dataDxfId="51" dataCellStyle="Moeda"/>
    <tableColumn id="12" xr3:uid="{2B04ABC8-DE6F-426E-ADC0-D8AFC68CA58E}" name="Total Value" dataDxfId="5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29" sqref="D29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5" sqref="I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D33"/>
  <sheetViews>
    <sheetView showGridLines="0" workbookViewId="0">
      <selection activeCell="D33" sqref="D33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5" spans="2:3" x14ac:dyDescent="0.25">
      <c r="B5" t="s">
        <v>317</v>
      </c>
    </row>
    <row r="6" spans="2:3" x14ac:dyDescent="0.25">
      <c r="B6" t="s">
        <v>316</v>
      </c>
    </row>
    <row r="8" spans="2:3" x14ac:dyDescent="0.25">
      <c r="B8" s="12" t="s">
        <v>16</v>
      </c>
      <c r="C8" t="s">
        <v>27</v>
      </c>
    </row>
    <row r="10" spans="2:3" x14ac:dyDescent="0.25">
      <c r="B10" s="12" t="s">
        <v>314</v>
      </c>
      <c r="C10" t="s">
        <v>313</v>
      </c>
    </row>
    <row r="11" spans="2:3" x14ac:dyDescent="0.25">
      <c r="B11" s="13" t="s">
        <v>23</v>
      </c>
      <c r="C11" s="14">
        <v>806</v>
      </c>
    </row>
    <row r="12" spans="2:3" x14ac:dyDescent="0.25">
      <c r="B12" s="13" t="s">
        <v>19</v>
      </c>
      <c r="C12" s="14">
        <v>1502</v>
      </c>
    </row>
    <row r="13" spans="2:3" x14ac:dyDescent="0.25">
      <c r="B13" s="13" t="s">
        <v>315</v>
      </c>
      <c r="C13" s="14">
        <v>2308</v>
      </c>
    </row>
    <row r="15" spans="2:3" x14ac:dyDescent="0.25">
      <c r="B15" s="13" t="s">
        <v>319</v>
      </c>
    </row>
    <row r="17" spans="2:4" x14ac:dyDescent="0.25">
      <c r="B17" s="12" t="s">
        <v>16</v>
      </c>
      <c r="C17" t="s">
        <v>27</v>
      </c>
    </row>
    <row r="19" spans="2:4" x14ac:dyDescent="0.25">
      <c r="B19" s="12" t="s">
        <v>314</v>
      </c>
      <c r="C19" t="s">
        <v>320</v>
      </c>
    </row>
    <row r="20" spans="2:4" x14ac:dyDescent="0.25">
      <c r="B20" s="13" t="s">
        <v>22</v>
      </c>
      <c r="C20" s="14">
        <v>0</v>
      </c>
    </row>
    <row r="21" spans="2:4" x14ac:dyDescent="0.25">
      <c r="B21" s="13" t="s">
        <v>26</v>
      </c>
      <c r="C21" s="14">
        <v>0</v>
      </c>
    </row>
    <row r="22" spans="2:4" x14ac:dyDescent="0.25">
      <c r="B22" s="13" t="s">
        <v>18</v>
      </c>
      <c r="C22" s="14">
        <v>990</v>
      </c>
    </row>
    <row r="23" spans="2:4" x14ac:dyDescent="0.25">
      <c r="B23" s="13" t="s">
        <v>315</v>
      </c>
      <c r="C23" s="14">
        <v>990</v>
      </c>
      <c r="D23" s="14">
        <f>GETPIVOTDATA("EA Play Season Pass
Price",$B$19)</f>
        <v>990</v>
      </c>
    </row>
    <row r="25" spans="2:4" x14ac:dyDescent="0.25">
      <c r="B25" s="13" t="s">
        <v>321</v>
      </c>
    </row>
    <row r="26" spans="2:4" x14ac:dyDescent="0.25">
      <c r="B26" s="13" t="s">
        <v>322</v>
      </c>
    </row>
    <row r="27" spans="2:4" x14ac:dyDescent="0.25">
      <c r="B27" s="12" t="s">
        <v>16</v>
      </c>
      <c r="C27" t="s">
        <v>27</v>
      </c>
    </row>
    <row r="29" spans="2:4" x14ac:dyDescent="0.25">
      <c r="B29" s="12" t="s">
        <v>314</v>
      </c>
      <c r="C29" t="s">
        <v>323</v>
      </c>
    </row>
    <row r="30" spans="2:4" x14ac:dyDescent="0.25">
      <c r="B30" s="13" t="s">
        <v>22</v>
      </c>
      <c r="C30" s="14">
        <v>0</v>
      </c>
    </row>
    <row r="31" spans="2:4" x14ac:dyDescent="0.25">
      <c r="B31" s="13" t="s">
        <v>26</v>
      </c>
      <c r="C31" s="14">
        <v>480</v>
      </c>
    </row>
    <row r="32" spans="2:4" x14ac:dyDescent="0.25">
      <c r="B32" s="13" t="s">
        <v>18</v>
      </c>
      <c r="C32" s="14">
        <v>660</v>
      </c>
    </row>
    <row r="33" spans="2:4" x14ac:dyDescent="0.25">
      <c r="B33" s="13" t="s">
        <v>315</v>
      </c>
      <c r="C33" s="14">
        <v>1140</v>
      </c>
      <c r="D33" s="14">
        <f>GETPIVOTDATA("Minecraft Season Pass Price",$B$29)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W376"/>
  <sheetViews>
    <sheetView showGridLines="0" tabSelected="1" zoomScale="90" zoomScaleNormal="90" workbookViewId="0">
      <selection activeCell="AA10" sqref="AA10"/>
    </sheetView>
  </sheetViews>
  <sheetFormatPr defaultRowHeight="15" x14ac:dyDescent="0.25"/>
  <cols>
    <col min="1" max="1" width="28" style="4" customWidth="1"/>
    <col min="2" max="2" width="3.5703125" customWidth="1"/>
    <col min="12" max="12" width="6.5703125" customWidth="1"/>
  </cols>
  <sheetData>
    <row r="1" spans="1:23" ht="20.25" customHeight="1" x14ac:dyDescent="0.25"/>
    <row r="2" spans="1:23" ht="51.75" customHeight="1" thickBot="1" x14ac:dyDescent="0.5">
      <c r="C2" s="17" t="s">
        <v>318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6"/>
      <c r="P2" s="16"/>
      <c r="Q2" s="16"/>
      <c r="R2" s="16"/>
      <c r="S2" s="16"/>
      <c r="T2" s="16"/>
      <c r="U2" s="16"/>
      <c r="V2" s="16"/>
      <c r="W2" s="16"/>
    </row>
    <row r="3" spans="1:23" ht="33.75" customHeight="1" thickTop="1" x14ac:dyDescent="0.25"/>
    <row r="4" spans="1:23" s="7" customFormat="1" ht="8.25" customHeight="1" x14ac:dyDescent="0.25">
      <c r="A4" s="4"/>
    </row>
    <row r="5" spans="1:23" s="7" customFormat="1" ht="7.5" customHeight="1" x14ac:dyDescent="0.25">
      <c r="A5" s="4"/>
    </row>
    <row r="6" spans="1:23" s="7" customFormat="1" ht="10.5" customHeight="1" x14ac:dyDescent="0.25">
      <c r="A6" s="4"/>
    </row>
    <row r="7" spans="1:23" s="7" customFormat="1" ht="16.5" customHeight="1" x14ac:dyDescent="0.25">
      <c r="A7" s="4"/>
    </row>
    <row r="8" spans="1:23" s="7" customFormat="1" ht="33" customHeight="1" x14ac:dyDescent="0.25">
      <c r="A8" s="4"/>
    </row>
    <row r="9" spans="1:23" s="7" customFormat="1" x14ac:dyDescent="0.25">
      <c r="A9" s="4"/>
    </row>
    <row r="10" spans="1:23" s="7" customFormat="1" x14ac:dyDescent="0.25">
      <c r="A10" s="4"/>
    </row>
    <row r="11" spans="1:23" s="7" customFormat="1" x14ac:dyDescent="0.25">
      <c r="A11" s="4"/>
    </row>
    <row r="12" spans="1:23" s="7" customFormat="1" x14ac:dyDescent="0.25">
      <c r="A12" s="4"/>
    </row>
    <row r="13" spans="1:23" s="7" customFormat="1" x14ac:dyDescent="0.25">
      <c r="A13" s="4"/>
    </row>
    <row r="14" spans="1:23" s="7" customFormat="1" x14ac:dyDescent="0.25">
      <c r="A14" s="4"/>
    </row>
    <row r="15" spans="1:23" s="7" customFormat="1" x14ac:dyDescent="0.25">
      <c r="A15" s="4"/>
    </row>
    <row r="16" spans="1:23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  <row r="298" spans="1:1" s="7" customFormat="1" x14ac:dyDescent="0.25">
      <c r="A298" s="4"/>
    </row>
    <row r="299" spans="1:1" s="7" customFormat="1" x14ac:dyDescent="0.25">
      <c r="A299" s="4"/>
    </row>
    <row r="300" spans="1:1" s="7" customFormat="1" x14ac:dyDescent="0.25">
      <c r="A300" s="4"/>
    </row>
    <row r="301" spans="1:1" s="7" customFormat="1" x14ac:dyDescent="0.25">
      <c r="A301" s="4"/>
    </row>
    <row r="302" spans="1:1" s="7" customFormat="1" x14ac:dyDescent="0.25">
      <c r="A302" s="4"/>
    </row>
    <row r="303" spans="1:1" s="7" customFormat="1" x14ac:dyDescent="0.25">
      <c r="A303" s="4"/>
    </row>
    <row r="304" spans="1:1" s="7" customFormat="1" x14ac:dyDescent="0.25">
      <c r="A304" s="4"/>
    </row>
    <row r="305" spans="1:1" s="7" customFormat="1" x14ac:dyDescent="0.25">
      <c r="A305" s="4"/>
    </row>
    <row r="306" spans="1:1" s="7" customFormat="1" x14ac:dyDescent="0.25">
      <c r="A306" s="4"/>
    </row>
    <row r="307" spans="1:1" s="7" customFormat="1" x14ac:dyDescent="0.25">
      <c r="A307" s="4"/>
    </row>
    <row r="308" spans="1:1" s="7" customFormat="1" x14ac:dyDescent="0.25">
      <c r="A308" s="4"/>
    </row>
    <row r="309" spans="1:1" s="7" customFormat="1" x14ac:dyDescent="0.25">
      <c r="A309" s="4"/>
    </row>
    <row r="310" spans="1:1" s="7" customFormat="1" x14ac:dyDescent="0.25">
      <c r="A310" s="4"/>
    </row>
    <row r="311" spans="1:1" s="7" customFormat="1" x14ac:dyDescent="0.25">
      <c r="A311" s="4"/>
    </row>
    <row r="312" spans="1:1" s="7" customFormat="1" x14ac:dyDescent="0.25">
      <c r="A312" s="4"/>
    </row>
    <row r="313" spans="1:1" s="7" customFormat="1" x14ac:dyDescent="0.25">
      <c r="A313" s="4"/>
    </row>
    <row r="314" spans="1:1" s="7" customFormat="1" x14ac:dyDescent="0.25">
      <c r="A314" s="4"/>
    </row>
    <row r="315" spans="1:1" s="7" customFormat="1" x14ac:dyDescent="0.25">
      <c r="A315" s="4"/>
    </row>
    <row r="316" spans="1:1" s="7" customFormat="1" x14ac:dyDescent="0.25">
      <c r="A316" s="4"/>
    </row>
    <row r="317" spans="1:1" s="7" customFormat="1" x14ac:dyDescent="0.25">
      <c r="A317" s="4"/>
    </row>
    <row r="318" spans="1:1" s="7" customFormat="1" x14ac:dyDescent="0.25">
      <c r="A318" s="4"/>
    </row>
    <row r="319" spans="1:1" s="7" customFormat="1" x14ac:dyDescent="0.25">
      <c r="A319" s="4"/>
    </row>
    <row r="320" spans="1:1" s="7" customFormat="1" x14ac:dyDescent="0.25">
      <c r="A320" s="4"/>
    </row>
    <row r="321" spans="1:1" s="7" customFormat="1" x14ac:dyDescent="0.25">
      <c r="A321" s="4"/>
    </row>
    <row r="322" spans="1:1" s="7" customFormat="1" x14ac:dyDescent="0.25">
      <c r="A322" s="4"/>
    </row>
    <row r="323" spans="1:1" s="7" customFormat="1" x14ac:dyDescent="0.25">
      <c r="A323" s="4"/>
    </row>
    <row r="324" spans="1:1" s="7" customFormat="1" x14ac:dyDescent="0.25">
      <c r="A324" s="4"/>
    </row>
    <row r="325" spans="1:1" s="7" customFormat="1" x14ac:dyDescent="0.25">
      <c r="A325" s="4"/>
    </row>
    <row r="326" spans="1:1" s="7" customFormat="1" x14ac:dyDescent="0.25">
      <c r="A326" s="4"/>
    </row>
    <row r="327" spans="1:1" s="7" customFormat="1" x14ac:dyDescent="0.25">
      <c r="A327" s="4"/>
    </row>
    <row r="328" spans="1:1" s="7" customFormat="1" x14ac:dyDescent="0.25">
      <c r="A328" s="4"/>
    </row>
    <row r="329" spans="1:1" s="7" customFormat="1" x14ac:dyDescent="0.25">
      <c r="A329" s="4"/>
    </row>
    <row r="330" spans="1:1" s="7" customFormat="1" x14ac:dyDescent="0.25">
      <c r="A330" s="4"/>
    </row>
    <row r="331" spans="1:1" s="7" customFormat="1" x14ac:dyDescent="0.25">
      <c r="A331" s="4"/>
    </row>
    <row r="332" spans="1:1" s="7" customFormat="1" x14ac:dyDescent="0.25">
      <c r="A332" s="4"/>
    </row>
    <row r="333" spans="1:1" s="7" customFormat="1" x14ac:dyDescent="0.25">
      <c r="A333" s="4"/>
    </row>
    <row r="334" spans="1:1" s="7" customFormat="1" x14ac:dyDescent="0.25">
      <c r="A334" s="4"/>
    </row>
    <row r="335" spans="1:1" s="7" customFormat="1" x14ac:dyDescent="0.25">
      <c r="A335" s="4"/>
    </row>
    <row r="336" spans="1:1" s="7" customFormat="1" x14ac:dyDescent="0.25">
      <c r="A336" s="4"/>
    </row>
    <row r="337" spans="1:1" s="7" customFormat="1" x14ac:dyDescent="0.25">
      <c r="A337" s="4"/>
    </row>
    <row r="338" spans="1:1" s="7" customFormat="1" x14ac:dyDescent="0.25">
      <c r="A338" s="4"/>
    </row>
    <row r="339" spans="1:1" s="7" customFormat="1" x14ac:dyDescent="0.25">
      <c r="A339" s="4"/>
    </row>
    <row r="340" spans="1:1" s="7" customFormat="1" x14ac:dyDescent="0.25">
      <c r="A340" s="4"/>
    </row>
    <row r="341" spans="1:1" s="7" customFormat="1" x14ac:dyDescent="0.25">
      <c r="A341" s="4"/>
    </row>
    <row r="342" spans="1:1" s="7" customFormat="1" x14ac:dyDescent="0.25">
      <c r="A342" s="4"/>
    </row>
    <row r="343" spans="1:1" s="7" customFormat="1" x14ac:dyDescent="0.25">
      <c r="A343" s="4"/>
    </row>
    <row r="344" spans="1:1" s="7" customFormat="1" x14ac:dyDescent="0.25">
      <c r="A344" s="4"/>
    </row>
    <row r="345" spans="1:1" s="7" customFormat="1" x14ac:dyDescent="0.25">
      <c r="A345" s="4"/>
    </row>
    <row r="346" spans="1:1" s="7" customFormat="1" x14ac:dyDescent="0.25">
      <c r="A346" s="4"/>
    </row>
    <row r="347" spans="1:1" s="7" customFormat="1" x14ac:dyDescent="0.25">
      <c r="A347" s="4"/>
    </row>
    <row r="348" spans="1:1" s="7" customFormat="1" x14ac:dyDescent="0.25">
      <c r="A348" s="4"/>
    </row>
    <row r="349" spans="1:1" s="7" customFormat="1" x14ac:dyDescent="0.25">
      <c r="A349" s="4"/>
    </row>
    <row r="350" spans="1:1" s="7" customFormat="1" x14ac:dyDescent="0.25">
      <c r="A350" s="4"/>
    </row>
    <row r="351" spans="1:1" s="7" customFormat="1" x14ac:dyDescent="0.25">
      <c r="A351" s="4"/>
    </row>
    <row r="352" spans="1:1" s="7" customFormat="1" x14ac:dyDescent="0.25">
      <c r="A352" s="4"/>
    </row>
    <row r="353" spans="1:1" s="7" customFormat="1" x14ac:dyDescent="0.25">
      <c r="A353" s="4"/>
    </row>
    <row r="354" spans="1:1" s="7" customFormat="1" x14ac:dyDescent="0.25">
      <c r="A354" s="4"/>
    </row>
    <row r="355" spans="1:1" s="7" customFormat="1" x14ac:dyDescent="0.25">
      <c r="A355" s="4"/>
    </row>
    <row r="356" spans="1:1" s="7" customFormat="1" x14ac:dyDescent="0.25">
      <c r="A356" s="4"/>
    </row>
    <row r="357" spans="1:1" s="7" customFormat="1" x14ac:dyDescent="0.25">
      <c r="A357" s="4"/>
    </row>
    <row r="358" spans="1:1" s="7" customFormat="1" x14ac:dyDescent="0.25">
      <c r="A358" s="4"/>
    </row>
    <row r="359" spans="1:1" s="7" customFormat="1" x14ac:dyDescent="0.25">
      <c r="A359" s="4"/>
    </row>
    <row r="360" spans="1:1" s="7" customFormat="1" x14ac:dyDescent="0.25">
      <c r="A360" s="4"/>
    </row>
    <row r="361" spans="1:1" s="7" customFormat="1" x14ac:dyDescent="0.25">
      <c r="A361" s="4"/>
    </row>
    <row r="362" spans="1:1" s="7" customFormat="1" x14ac:dyDescent="0.25">
      <c r="A362" s="4"/>
    </row>
    <row r="363" spans="1:1" s="7" customFormat="1" x14ac:dyDescent="0.25">
      <c r="A363" s="4"/>
    </row>
    <row r="364" spans="1:1" s="7" customFormat="1" x14ac:dyDescent="0.25">
      <c r="A364" s="4"/>
    </row>
    <row r="365" spans="1:1" s="7" customFormat="1" x14ac:dyDescent="0.25">
      <c r="A365" s="4"/>
    </row>
    <row r="366" spans="1:1" s="7" customFormat="1" x14ac:dyDescent="0.25">
      <c r="A366" s="4"/>
    </row>
    <row r="367" spans="1:1" s="7" customFormat="1" x14ac:dyDescent="0.25">
      <c r="A367" s="4"/>
    </row>
    <row r="368" spans="1:1" s="7" customFormat="1" x14ac:dyDescent="0.25">
      <c r="A368" s="4"/>
    </row>
    <row r="369" spans="1:1" s="7" customFormat="1" x14ac:dyDescent="0.25">
      <c r="A369" s="4"/>
    </row>
    <row r="370" spans="1:1" s="7" customFormat="1" x14ac:dyDescent="0.25">
      <c r="A370" s="4"/>
    </row>
    <row r="371" spans="1:1" s="7" customFormat="1" x14ac:dyDescent="0.25">
      <c r="A371" s="4"/>
    </row>
    <row r="372" spans="1:1" s="7" customFormat="1" x14ac:dyDescent="0.25">
      <c r="A372" s="4"/>
    </row>
    <row r="373" spans="1:1" s="7" customFormat="1" x14ac:dyDescent="0.25">
      <c r="A373" s="4"/>
    </row>
    <row r="374" spans="1:1" s="7" customFormat="1" x14ac:dyDescent="0.25">
      <c r="A374" s="4"/>
    </row>
    <row r="375" spans="1:1" s="7" customFormat="1" x14ac:dyDescent="0.25">
      <c r="A375" s="4"/>
    </row>
    <row r="376" spans="1:1" s="7" customFormat="1" x14ac:dyDescent="0.25">
      <c r="A37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Allyson André</cp:lastModifiedBy>
  <dcterms:created xsi:type="dcterms:W3CDTF">2024-12-19T13:13:10Z</dcterms:created>
  <dcterms:modified xsi:type="dcterms:W3CDTF">2026-10-19T01:44:54Z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